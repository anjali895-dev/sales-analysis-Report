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1_Overall" sheetId="2" state="visible" r:id="rId4"/>
    <sheet name="2_Geography" sheetId="3" state="visible" r:id="rId5"/>
    <sheet name="2b_Districts" sheetId="4" state="visible" r:id="rId6"/>
    <sheet name="3_Performance" sheetId="5" state="visible" r:id="rId7"/>
    <sheet name="4_Products" sheetId="6" state="visible" r:id="rId8"/>
    <sheet name="5_Invoices" sheetId="7" state="visible" r:id="rId9"/>
    <sheet name="6_Insights" sheetId="8" state="visible" r:id="rId10"/>
    <sheet name="7_Recommendations" sheetId="9" state="visible" r:id="rId11"/>
    <sheet name="8_Assumption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<sst xmlns="http://schemas.openxmlformats.org/spreadsheetml/2006/main" count="1059" uniqueCount="591">
  <si>
    <t xml:space="preserve">Sales Analysis and Performance Report</t>
  </si>
  <si>
    <t xml:space="preserve">September 2024 (1-30 Sep) | Prepared by: Anjali | Data: Sep_part_1.xlsx and Sep_part_2.xlsx (19.18 lakh invoice lines)</t>
  </si>
  <si>
    <t xml:space="preserve">Headline numbers</t>
  </si>
  <si>
    <t xml:space="preserve">Total sales revenue (Rs Cr)</t>
  </si>
  <si>
    <t xml:space="preserve">Total invoices</t>
  </si>
  <si>
    <t xml:space="preserve">Total orders</t>
  </si>
  <si>
    <t xml:space="preserve">Average invoice value (Rs)</t>
  </si>
  <si>
    <t xml:space="preserve">Average Order Value, AOV (Rs)</t>
  </si>
  <si>
    <t xml:space="preserve">Average daily sales (Rs Cr)</t>
  </si>
  <si>
    <t xml:space="preserve">Unique customers</t>
  </si>
  <si>
    <t xml:space="preserve">Sales reps</t>
  </si>
  <si>
    <t xml:space="preserve">Key findings</t>
  </si>
  <si>
    <t xml:space="preserve">1. Telangana is 44.5% of sales; the top 10 districts are 59.5%. Maharashtra earns 12.7% with only 172 reps.</t>
  </si>
  <si>
    <t xml:space="preserve">2. Top 1% of reps make 35% of sales; the bottom half make 3.7%. 40% of reps sold under Rs 10,000.</t>
  </si>
  <si>
    <t xml:space="preserve">3. 3.9% of invoices (above Rs 10,000) make 53.7% of revenue; 51% of invoices (under Rs 250) make 2.5%.</t>
  </si>
  <si>
    <t xml:space="preserve">4. 68 of 958 products make 80% of revenue; four 30 kg dal SKUs alone are 11.7%.</t>
  </si>
  <si>
    <t xml:space="preserve">5. FMCG has the lowest invoice value (Rs 966); White Label the highest (Rs 12,556).</t>
  </si>
  <si>
    <t xml:space="preserve">6. Sales are flat across weekdays and hours; the last 6 days of the month run ~7% higher.</t>
  </si>
  <si>
    <t xml:space="preserve">Contents</t>
  </si>
  <si>
    <t xml:space="preserve">1_Overall</t>
  </si>
  <si>
    <t xml:space="preserve">Total sales, invoices, AOV, entity and sub-vertical split</t>
  </si>
  <si>
    <t xml:space="preserve">2_Geography</t>
  </si>
  <si>
    <t xml:space="preserve">State ranking, state x business line, top/weakest districts</t>
  </si>
  <si>
    <t xml:space="preserve">2b_Districts</t>
  </si>
  <si>
    <t xml:space="preserve">All 93 districts ranked</t>
  </si>
  <si>
    <t xml:space="preserve">3_Performance</t>
  </si>
  <si>
    <t xml:space="preserve">Top reps, rep bands, best vs under-performing</t>
  </si>
  <si>
    <t xml:space="preserve">4_Products</t>
  </si>
  <si>
    <t xml:space="preserve">Top products, categories, long tail, low performers</t>
  </si>
  <si>
    <t xml:space="preserve">5_Invoices</t>
  </si>
  <si>
    <t xml:space="preserve">Invoice bands, daily/weekly trend, anomalies</t>
  </si>
  <si>
    <t xml:space="preserve">6_Insights</t>
  </si>
  <si>
    <t xml:space="preserve">Key insights</t>
  </si>
  <si>
    <t xml:space="preserve">7_Recommendations</t>
  </si>
  <si>
    <t xml:space="preserve">Action plan with KPIs and targets</t>
  </si>
  <si>
    <t xml:space="preserve">8_Assumptions</t>
  </si>
  <si>
    <t xml:space="preserve">Assumptions and limitations</t>
  </si>
  <si>
    <t xml:space="preserve">1. Overall Sales Performance</t>
  </si>
  <si>
    <t xml:space="preserve">September 2024 (1-30 Sep) | Source: Sep_part_1.xlsx + Sep_part_2.xlsx | Blue = values taken from the data, black = formulas</t>
  </si>
  <si>
    <t xml:space="preserve">A. Headline KPIs</t>
  </si>
  <si>
    <t xml:space="preserve">Metric</t>
  </si>
  <si>
    <t xml:space="preserve">Value</t>
  </si>
  <si>
    <t xml:space="preserve">Note</t>
  </si>
  <si>
    <t xml:space="preserve">Total sales revenue (Rs, invoice total incl. GST)</t>
  </si>
  <si>
    <t xml:space="preserve">Sum of the "total" column</t>
  </si>
  <si>
    <t xml:space="preserve">1 Cr = 10 million</t>
  </si>
  <si>
    <t xml:space="preserve">Taxable value before GST (Rs)</t>
  </si>
  <si>
    <t xml:space="preserve">GST is only ~Rs 4.8 lakh because most agri items are nil-rated</t>
  </si>
  <si>
    <t xml:space="preserve">Total invoices (unique invoice_no)</t>
  </si>
  <si>
    <t xml:space="preserve">Total orders (unique order_id)</t>
  </si>
  <si>
    <t xml:space="preserve">45.5% of orders are split into 2 invoices (Agritech + Consumer Products)</t>
  </si>
  <si>
    <t xml:space="preserve">Invoice line items</t>
  </si>
  <si>
    <t xml:space="preserve">One data row = one invoice line</t>
  </si>
  <si>
    <t xml:space="preserve">68.5% bought on 2 or more invoices</t>
  </si>
  <si>
    <t xml:space="preserve">Sales representatives (hesaathi_code)</t>
  </si>
  <si>
    <t xml:space="preserve">Assumed to be the field sales rep</t>
  </si>
  <si>
    <t xml:space="preserve">Products</t>
  </si>
  <si>
    <t xml:space="preserve">Districts</t>
  </si>
  <si>
    <t xml:space="preserve">States</t>
  </si>
  <si>
    <t xml:space="preserve">Average sales per line item (Rs)</t>
  </si>
  <si>
    <t xml:space="preserve">Mean is ~7x the median because of a few very large invoices</t>
  </si>
  <si>
    <t xml:space="preserve">Average Order Value, AOV (Rs, per order)</t>
  </si>
  <si>
    <t xml:space="preserve">Higher than invoice value because one order can hold 2 invoices</t>
  </si>
  <si>
    <t xml:space="preserve">Median invoice value (Rs)</t>
  </si>
  <si>
    <t xml:space="preserve">Median order value (Rs)</t>
  </si>
  <si>
    <t xml:space="preserve">30 days</t>
  </si>
  <si>
    <t xml:space="preserve">Average sales per customer (Rs)</t>
  </si>
  <si>
    <t xml:space="preserve">Median customer spent only Rs 1,959</t>
  </si>
  <si>
    <t xml:space="preserve">Lines per invoice</t>
  </si>
  <si>
    <t xml:space="preserve">Maximum 6 lines per invoice in the data</t>
  </si>
  <si>
    <t xml:space="preserve">B. Business entity (vertical)</t>
  </si>
  <si>
    <t xml:space="preserve">Entity</t>
  </si>
  <si>
    <t xml:space="preserve">Sales (Rs)</t>
  </si>
  <si>
    <t xml:space="preserve">Sales (Rs Cr)</t>
  </si>
  <si>
    <t xml:space="preserve">Share</t>
  </si>
  <si>
    <t xml:space="preserve">Invoices</t>
  </si>
  <si>
    <t xml:space="preserve">Invoice lines</t>
  </si>
  <si>
    <t xml:space="preserve">Avg invoice (Rs)</t>
  </si>
  <si>
    <t xml:space="preserve">Hesa Agritech Private Limited</t>
  </si>
  <si>
    <t xml:space="preserve">Hesa Consumer Products Private Limited</t>
  </si>
  <si>
    <t xml:space="preserve">Total</t>
  </si>
  <si>
    <t xml:space="preserve">C. Sub-vertical</t>
  </si>
  <si>
    <t xml:space="preserve">Sub-vertical</t>
  </si>
  <si>
    <t xml:space="preserve">Share of sales</t>
  </si>
  <si>
    <t xml:space="preserve">Share of invoices</t>
  </si>
  <si>
    <t xml:space="preserve">Market Linkages</t>
  </si>
  <si>
    <t xml:space="preserve">Fmcg</t>
  </si>
  <si>
    <t xml:space="preserve">Value Intervention</t>
  </si>
  <si>
    <t xml:space="preserve">White Label</t>
  </si>
  <si>
    <t xml:space="preserve">Agri inputs</t>
  </si>
  <si>
    <t xml:space="preserve">Sub-vertical invoice counts add to slightly more than unique invoices (a few invoices contain items from two sub-verticals).</t>
  </si>
  <si>
    <t xml:space="preserve">Reading the numbers</t>
  </si>
  <si>
    <t xml:space="preserve">Market Linkages and FMCG are ~92% of invoices but ~62% of sales. White Label, Value Intervention and Agri Inputs are ~8% of invoices but ~38% of sales because each invoice is 5-10x larger. Average invoice (Rs 1,732) is far above the median (Rs 238): a small number of bulk invoices lift the mean.</t>
  </si>
  <si>
    <t xml:space="preserve">2. Geography-wise Analysis</t>
  </si>
  <si>
    <t xml:space="preserve">Rankings and comparisons across states and districts</t>
  </si>
  <si>
    <t xml:space="preserve">A. State ranking</t>
  </si>
  <si>
    <t xml:space="preserve">State</t>
  </si>
  <si>
    <t xml:space="preserve">Customers</t>
  </si>
  <si>
    <t xml:space="preserve">Reps</t>
  </si>
  <si>
    <t xml:space="preserve">Sales per rep (Rs lakh)</t>
  </si>
  <si>
    <t xml:space="preserve">Sales per customer (Rs)</t>
  </si>
  <si>
    <t xml:space="preserve">Rank</t>
  </si>
  <si>
    <t xml:space="preserve">Telangana</t>
  </si>
  <si>
    <t xml:space="preserve">Andhra Pradesh</t>
  </si>
  <si>
    <t xml:space="preserve">Odisha</t>
  </si>
  <si>
    <t xml:space="preserve">Maharashtra</t>
  </si>
  <si>
    <t xml:space="preserve">Tamil Nadu</t>
  </si>
  <si>
    <t xml:space="preserve">Karnataka</t>
  </si>
  <si>
    <t xml:space="preserve">Telangana, Andhra Pradesh and Odisha = 84% of sales. Maharashtra gets 12.7% with only 172 reps (about 16x the sales per rep of Telangana). Tamil Nadu has the highest invoice value but only 3.2% of sales. Karnataka (1 district, 76 invoices) looks like a pilot/test.</t>
  </si>
  <si>
    <t xml:space="preserve">B. State by business line</t>
  </si>
  <si>
    <t xml:space="preserve">Agri Business (Rs)</t>
  </si>
  <si>
    <t xml:space="preserve">Commerce Business (Rs)</t>
  </si>
  <si>
    <t xml:space="preserve">Total (Rs)</t>
  </si>
  <si>
    <t xml:space="preserve">Commerce share of state</t>
  </si>
  <si>
    <t xml:space="preserve">C. Top 10 districts</t>
  </si>
  <si>
    <t xml:space="preserve">District</t>
  </si>
  <si>
    <t xml:space="preserve">Share of total</t>
  </si>
  <si>
    <t xml:space="preserve">Cumulative share</t>
  </si>
  <si>
    <t xml:space="preserve">Adilabad</t>
  </si>
  <si>
    <t xml:space="preserve">Latur</t>
  </si>
  <si>
    <t xml:space="preserve">Karim Nagar</t>
  </si>
  <si>
    <t xml:space="preserve">Warangal</t>
  </si>
  <si>
    <t xml:space="preserve">Mahabub Nagar</t>
  </si>
  <si>
    <t xml:space="preserve">Nalgonda</t>
  </si>
  <si>
    <t xml:space="preserve">Nizamabad</t>
  </si>
  <si>
    <t xml:space="preserve">Srikakulam</t>
  </si>
  <si>
    <t xml:space="preserve">Krishna</t>
  </si>
  <si>
    <t xml:space="preserve">Khorda</t>
  </si>
  <si>
    <t xml:space="preserve">Top 10 districts = 59.5% of sales; top 20 = 79.5%. Warangal and Nalgonda win on invoice count but earn ~Rs 1,000 per invoice, while Adilabad, Latur and Karim Nagar earn ~Rs 3,800.</t>
  </si>
  <si>
    <t xml:space="preserve">D. Ten weakest districts (lowest sales)</t>
  </si>
  <si>
    <t xml:space="preserve">Kanyakumari</t>
  </si>
  <si>
    <t xml:space="preserve">Boudh</t>
  </si>
  <si>
    <t xml:space="preserve">Debagarh</t>
  </si>
  <si>
    <t xml:space="preserve">Rayagada</t>
  </si>
  <si>
    <t xml:space="preserve">Ahmed Nagar</t>
  </si>
  <si>
    <t xml:space="preserve">Aurangabad</t>
  </si>
  <si>
    <t xml:space="preserve">Balangir</t>
  </si>
  <si>
    <t xml:space="preserve">Nanded</t>
  </si>
  <si>
    <t xml:space="preserve">Yavatmal</t>
  </si>
  <si>
    <t xml:space="preserve">Tirunelveli</t>
  </si>
  <si>
    <t xml:space="preserve">Many weak districts are served by a single rep (coverage problem). Sangareddy (Telangana) is different: 119 reps but only Rs 1.63 lakh sales (activity problem).</t>
  </si>
  <si>
    <t xml:space="preserve">E. District concentration inside each state</t>
  </si>
  <si>
    <t xml:space="preserve">Top district</t>
  </si>
  <si>
    <t xml:space="preserve">Top district share of state</t>
  </si>
  <si>
    <t xml:space="preserve">Districts under 1% of state sales</t>
  </si>
  <si>
    <t xml:space="preserve">Bidar</t>
  </si>
  <si>
    <t xml:space="preserve">Coimbatore</t>
  </si>
  <si>
    <t xml:space="preserve">2b. All 93 districts - ranked by sales</t>
  </si>
  <si>
    <t xml:space="preserve">Supporting table for the geography analysis</t>
  </si>
  <si>
    <t xml:space="preserve">Sales per rep (Rs)</t>
  </si>
  <si>
    <t xml:space="preserve">Sundergarh</t>
  </si>
  <si>
    <t xml:space="preserve">Khammam</t>
  </si>
  <si>
    <t xml:space="preserve">Puri</t>
  </si>
  <si>
    <t xml:space="preserve">Vizianagaram</t>
  </si>
  <si>
    <t xml:space="preserve">Visakhapatnam</t>
  </si>
  <si>
    <t xml:space="preserve">Mayurbhanj</t>
  </si>
  <si>
    <t xml:space="preserve">Rangareddy</t>
  </si>
  <si>
    <t xml:space="preserve">Angul</t>
  </si>
  <si>
    <t xml:space="preserve">West Godavari</t>
  </si>
  <si>
    <t xml:space="preserve">Dhule</t>
  </si>
  <si>
    <t xml:space="preserve">Kurnool</t>
  </si>
  <si>
    <t xml:space="preserve">Amravati</t>
  </si>
  <si>
    <t xml:space="preserve">Ananthapur</t>
  </si>
  <si>
    <t xml:space="preserve">Gajapati</t>
  </si>
  <si>
    <t xml:space="preserve">Mumbai</t>
  </si>
  <si>
    <t xml:space="preserve">East Godavari</t>
  </si>
  <si>
    <t xml:space="preserve">Pune</t>
  </si>
  <si>
    <t xml:space="preserve">Vellore</t>
  </si>
  <si>
    <t xml:space="preserve">Cuttack</t>
  </si>
  <si>
    <t xml:space="preserve">Nellore</t>
  </si>
  <si>
    <t xml:space="preserve">Guntur</t>
  </si>
  <si>
    <t xml:space="preserve">Jajapur</t>
  </si>
  <si>
    <t xml:space="preserve">Bhadrak</t>
  </si>
  <si>
    <t xml:space="preserve">Balasore</t>
  </si>
  <si>
    <t xml:space="preserve">Chittoor</t>
  </si>
  <si>
    <t xml:space="preserve">Ganjam</t>
  </si>
  <si>
    <t xml:space="preserve">Jagatsinghapur</t>
  </si>
  <si>
    <t xml:space="preserve">Bargarh</t>
  </si>
  <si>
    <t xml:space="preserve">Prakasam</t>
  </si>
  <si>
    <t xml:space="preserve">Vijayawada</t>
  </si>
  <si>
    <t xml:space="preserve">Cuddalore</t>
  </si>
  <si>
    <t xml:space="preserve">Cuddapah</t>
  </si>
  <si>
    <t xml:space="preserve">Baleswar</t>
  </si>
  <si>
    <t xml:space="preserve">Medak</t>
  </si>
  <si>
    <t xml:space="preserve">Erode</t>
  </si>
  <si>
    <t xml:space="preserve">Hyderabad</t>
  </si>
  <si>
    <t xml:space="preserve">Kendrapara</t>
  </si>
  <si>
    <t xml:space="preserve">Tiruppur</t>
  </si>
  <si>
    <t xml:space="preserve">Satara</t>
  </si>
  <si>
    <t xml:space="preserve">Madurai</t>
  </si>
  <si>
    <t xml:space="preserve">Dharmapuri</t>
  </si>
  <si>
    <t xml:space="preserve">Thane</t>
  </si>
  <si>
    <t xml:space="preserve">Tiruvannamalai</t>
  </si>
  <si>
    <t xml:space="preserve">Krishnagiri</t>
  </si>
  <si>
    <t xml:space="preserve">Dhenkanal</t>
  </si>
  <si>
    <t xml:space="preserve">Nayagarh</t>
  </si>
  <si>
    <t xml:space="preserve">Namakkal</t>
  </si>
  <si>
    <t xml:space="preserve">Kolhapur</t>
  </si>
  <si>
    <t xml:space="preserve">Jalgaon</t>
  </si>
  <si>
    <t xml:space="preserve">Kalahandi</t>
  </si>
  <si>
    <t xml:space="preserve">Karur</t>
  </si>
  <si>
    <t xml:space="preserve">Osmanabad</t>
  </si>
  <si>
    <t xml:space="preserve">Wanaparthy</t>
  </si>
  <si>
    <t xml:space="preserve">Raigarh(Mh)</t>
  </si>
  <si>
    <t xml:space="preserve">Nilgiris</t>
  </si>
  <si>
    <t xml:space="preserve">Tiruchirappalli</t>
  </si>
  <si>
    <t xml:space="preserve">Ramanathapuram</t>
  </si>
  <si>
    <t xml:space="preserve">Sonapur</t>
  </si>
  <si>
    <t xml:space="preserve">Vikarabad</t>
  </si>
  <si>
    <t xml:space="preserve">Beed</t>
  </si>
  <si>
    <t xml:space="preserve">Kanchipuram</t>
  </si>
  <si>
    <t xml:space="preserve">Raigarh Mh</t>
  </si>
  <si>
    <t xml:space="preserve">Buldhana</t>
  </si>
  <si>
    <t xml:space="preserve">Nagpur</t>
  </si>
  <si>
    <t xml:space="preserve">Gadchiroli</t>
  </si>
  <si>
    <t xml:space="preserve">Salem</t>
  </si>
  <si>
    <t xml:space="preserve">Solapur</t>
  </si>
  <si>
    <t xml:space="preserve">Sangareddy</t>
  </si>
  <si>
    <t xml:space="preserve">Chennai</t>
  </si>
  <si>
    <t xml:space="preserve">Kendujhar</t>
  </si>
  <si>
    <t xml:space="preserve">Chandrapur</t>
  </si>
  <si>
    <t xml:space="preserve">3. Performance Evaluation</t>
  </si>
  <si>
    <t xml:space="preserve">Best and under-performing geographies and sales representatives (reps identified by Hesaathi code; no names in the data)</t>
  </si>
  <si>
    <t xml:space="preserve">A. Top 20 sales reps</t>
  </si>
  <si>
    <t xml:space="preserve">Rep code</t>
  </si>
  <si>
    <t xml:space="preserve">Share of total sales</t>
  </si>
  <si>
    <t xml:space="preserve">HS005848</t>
  </si>
  <si>
    <t xml:space="preserve">HS005815</t>
  </si>
  <si>
    <t xml:space="preserve">HS019659</t>
  </si>
  <si>
    <t xml:space="preserve">HS005431</t>
  </si>
  <si>
    <t xml:space="preserve">HS006502</t>
  </si>
  <si>
    <t xml:space="preserve">HS006035</t>
  </si>
  <si>
    <t xml:space="preserve">HS006038</t>
  </si>
  <si>
    <t xml:space="preserve">HS006091</t>
  </si>
  <si>
    <t xml:space="preserve">HS006518</t>
  </si>
  <si>
    <t xml:space="preserve">HS010083</t>
  </si>
  <si>
    <t xml:space="preserve">HS006093</t>
  </si>
  <si>
    <t xml:space="preserve">HS018775</t>
  </si>
  <si>
    <t xml:space="preserve">HS018915</t>
  </si>
  <si>
    <t xml:space="preserve">HS006037</t>
  </si>
  <si>
    <t xml:space="preserve">HS000001</t>
  </si>
  <si>
    <t xml:space="preserve">HS000126</t>
  </si>
  <si>
    <t xml:space="preserve">HS006864</t>
  </si>
  <si>
    <t xml:space="preserve">HS013854</t>
  </si>
  <si>
    <t xml:space="preserve">HS005818</t>
  </si>
  <si>
    <t xml:space="preserve">HS000076</t>
  </si>
  <si>
    <t xml:space="preserve">Top 5 reps = 11.6% of sales, top 10 = 14.7%. The leading codes serve only 50-90 customers but file thousands of invoices, so they look like hub/aggregator accounts - to be verified.</t>
  </si>
  <si>
    <t xml:space="preserve">B. Rep productivity bands (sales in September)</t>
  </si>
  <si>
    <t xml:space="preserve">Rep sales band</t>
  </si>
  <si>
    <t xml:space="preserve">Share of reps</t>
  </si>
  <si>
    <t xml:space="preserve">Up to Rs 5,000</t>
  </si>
  <si>
    <t xml:space="preserve">Rs 5,000 - 10,000</t>
  </si>
  <si>
    <t xml:space="preserve">Rs 10,000 - 25,000</t>
  </si>
  <si>
    <t xml:space="preserve">Rs 25,000 - 50,000</t>
  </si>
  <si>
    <t xml:space="preserve">Rs 50,000 - 1 lakh</t>
  </si>
  <si>
    <t xml:space="preserve">Rs 1 lakh - 5 lakh</t>
  </si>
  <si>
    <t xml:space="preserve">Above Rs 5 lakh</t>
  </si>
  <si>
    <t xml:space="preserve">C. Concentration of the field force</t>
  </si>
  <si>
    <t xml:space="preserve">Group</t>
  </si>
  <si>
    <t xml:space="preserve">Activity indicator</t>
  </si>
  <si>
    <t xml:space="preserve">Top 5 reps</t>
  </si>
  <si>
    <t xml:space="preserve">Reps with only 1 invoice</t>
  </si>
  <si>
    <t xml:space="preserve">Top 10 reps</t>
  </si>
  <si>
    <t xml:space="preserve">Reps with 5 invoices or fewer</t>
  </si>
  <si>
    <t xml:space="preserve">Top 1% of reps (171)</t>
  </si>
  <si>
    <t xml:space="preserve">Reps below Rs 10,000 for the month</t>
  </si>
  <si>
    <t xml:space="preserve">Top 10% of reps</t>
  </si>
  <si>
    <t xml:space="preserve">Median rep sales (Rs)</t>
  </si>
  <si>
    <t xml:space="preserve">Top 20% of reps</t>
  </si>
  <si>
    <t xml:space="preserve">Mean rep sales (Rs)</t>
  </si>
  <si>
    <t xml:space="preserve">Bottom 50% of reps</t>
  </si>
  <si>
    <t xml:space="preserve">D. Rep productivity by state</t>
  </si>
  <si>
    <t xml:space="preserve">Mean sales per rep (Rs)</t>
  </si>
  <si>
    <t xml:space="preserve">Median sales per rep (Rs)</t>
  </si>
  <si>
    <t xml:space="preserve">E. Best vs under-performing</t>
  </si>
  <si>
    <t xml:space="preserve">Dimension</t>
  </si>
  <si>
    <t xml:space="preserve">Best performing</t>
  </si>
  <si>
    <t xml:space="preserve">Under-performing</t>
  </si>
  <si>
    <t xml:space="preserve">Geography</t>
  </si>
  <si>
    <t xml:space="preserve">Telangana (scale, 44.5%); Maharashtra (Rs 9.95 lakh per rep); Odisha (balanced, 24 districts); Tamil Nadu (highest invoice value Rs 2,680); districts Adilabad, Latur, Karim Nagar</t>
  </si>
  <si>
    <t xml:space="preserve">Karnataka (pilot, Rs 1.17 lakh); Maharashtra outside Latur (17 of 22 districts under 1% of state); Odisha (10 of 24 under 1%); Tamil Nadu (8 of 19 under 1%); Andhra Pradesh basket value (Rs 1,442)</t>
  </si>
  <si>
    <t xml:space="preserve">333 reps above Rs 5 lakh = 1.9% of reps, 42.4% of sales; top code HS005848 (Maharashtra) Rs 6.05 Cr</t>
  </si>
  <si>
    <t xml:space="preserve">4,501 reps below Rs 5,000 = 26.2% of reps, 0.7% of sales; 569 reps with a single invoice; Telangana median rep only Rs 11,812</t>
  </si>
  <si>
    <t xml:space="preserve">Business lines</t>
  </si>
  <si>
    <t xml:space="preserve">Market Linkages (volume, 45.4%); White Label (Rs 12,556 per invoice)</t>
  </si>
  <si>
    <t xml:space="preserve">FMCG: lowest invoice value (Rs 966) and ~30% of invoices but only 16.6% of sales</t>
  </si>
  <si>
    <t xml:space="preserve">Products / categories</t>
  </si>
  <si>
    <t xml:space="preserve">Staples and Essentials (21.1%), Vegetables (14.8%), Farm Machinery (Rs 6,753 per invoice)</t>
  </si>
  <si>
    <t xml:space="preserve">650 of 843 Commerce products sold under Rs 10,000 each; 16 of 43 categories under 0.1% of sales</t>
  </si>
  <si>
    <t xml:space="preserve">4. Product-wise Analysis</t>
  </si>
  <si>
    <t xml:space="preserve">Quantities are in mixed units (kg, pcs, Ltr...), so products are ranked by revenue and by number of invoices, not by quantity</t>
  </si>
  <si>
    <t xml:space="preserve">A. Top 20 products by revenue</t>
  </si>
  <si>
    <t xml:space="preserve">Product</t>
  </si>
  <si>
    <t xml:space="preserve">Category</t>
  </si>
  <si>
    <t xml:space="preserve">Business</t>
  </si>
  <si>
    <t xml:space="preserve">Suhas Urad Dal 30 kg</t>
  </si>
  <si>
    <t xml:space="preserve">Staples and Essentials</t>
  </si>
  <si>
    <t xml:space="preserve">Commerce Business</t>
  </si>
  <si>
    <t xml:space="preserve">Green Moong 30 Kg</t>
  </si>
  <si>
    <t xml:space="preserve">Coco Peat</t>
  </si>
  <si>
    <t xml:space="preserve">Soil Amendments</t>
  </si>
  <si>
    <t xml:space="preserve">Agri Business</t>
  </si>
  <si>
    <t xml:space="preserve">Ladies Finger</t>
  </si>
  <si>
    <t xml:space="preserve">Vegetables</t>
  </si>
  <si>
    <t xml:space="preserve">Tender Coconut</t>
  </si>
  <si>
    <t xml:space="preserve">Oilseeds</t>
  </si>
  <si>
    <t xml:space="preserve">Suhas Chana Dal 30 kg</t>
  </si>
  <si>
    <t xml:space="preserve">Maize (Corn)</t>
  </si>
  <si>
    <t xml:space="preserve">Cereals and Grains</t>
  </si>
  <si>
    <t xml:space="preserve">Green Chilli</t>
  </si>
  <si>
    <t xml:space="preserve">Rice Husk</t>
  </si>
  <si>
    <t xml:space="preserve">Crop Byproducts</t>
  </si>
  <si>
    <t xml:space="preserve">Millets</t>
  </si>
  <si>
    <t xml:space="preserve">Tomato</t>
  </si>
  <si>
    <t xml:space="preserve">Toor Dal</t>
  </si>
  <si>
    <t xml:space="preserve">Pulses</t>
  </si>
  <si>
    <t xml:space="preserve">Ground Nut</t>
  </si>
  <si>
    <t xml:space="preserve">Potato</t>
  </si>
  <si>
    <t xml:space="preserve">Garlic</t>
  </si>
  <si>
    <t xml:space="preserve">Spices and Herbs</t>
  </si>
  <si>
    <t xml:space="preserve">Sunflower Seed</t>
  </si>
  <si>
    <t xml:space="preserve">Seeds</t>
  </si>
  <si>
    <t xml:space="preserve">Sorghum (Jowar)</t>
  </si>
  <si>
    <t xml:space="preserve">Suhas Toor Dal 30 kg</t>
  </si>
  <si>
    <t xml:space="preserve">Lemon</t>
  </si>
  <si>
    <t xml:space="preserve">Fruits</t>
  </si>
  <si>
    <t xml:space="preserve">Onion</t>
  </si>
  <si>
    <t xml:space="preserve">Top 10 products = 28.3% of revenue, top 20 = 44.9%, top 50 = 71.8%; 68 products make 80%. The four 30 kg dal SKUs (Urad, Moong, Chana, Toor) = Rs 15.8 Cr = 11.7% of sales.</t>
  </si>
  <si>
    <t xml:space="preserve">B. Most frequently sold products (number of invoices containing the product)</t>
  </si>
  <si>
    <t xml:space="preserve">Avg per invoice (Rs)</t>
  </si>
  <si>
    <t xml:space="preserve">Pumpkin Stand</t>
  </si>
  <si>
    <t xml:space="preserve">Coconut</t>
  </si>
  <si>
    <t xml:space="preserve">Soya Bean (Loose)</t>
  </si>
  <si>
    <t xml:space="preserve">Chenagalu (Brown)</t>
  </si>
  <si>
    <t xml:space="preserve">Biscuits (Loose)</t>
  </si>
  <si>
    <t xml:space="preserve">High-frequency, low-ticket items (e.g. Pumpkin Stand ~Rs 61 per invoice) bring customers back often but add little value per visit: good traffic builders for add-on selling.</t>
  </si>
  <si>
    <t xml:space="preserve">C. Top 15 categories (spelling variants merged: 52 -&gt; 43 category names)</t>
  </si>
  <si>
    <t xml:space="preserve">Farm Machinery</t>
  </si>
  <si>
    <t xml:space="preserve">Spices, Masalas, and Condiments</t>
  </si>
  <si>
    <t xml:space="preserve">Animal Feed</t>
  </si>
  <si>
    <t xml:space="preserve">Fibers</t>
  </si>
  <si>
    <t xml:space="preserve">Packaging and Storage Materials</t>
  </si>
  <si>
    <t xml:space="preserve">Top 10 categories = 80.7% of sales. Irrigation Equipment (Rs 7,183) and Farm Machinery (Rs 6,753) have the highest revenue per invoice.</t>
  </si>
  <si>
    <t xml:space="preserve">D. Product concentration and long tail</t>
  </si>
  <si>
    <t xml:space="preserve">Indicator</t>
  </si>
  <si>
    <t xml:space="preserve">Total products</t>
  </si>
  <si>
    <t xml:space="preserve">Products needed for 80% of revenue</t>
  </si>
  <si>
    <t xml:space="preserve">Top 10 products - share of revenue</t>
  </si>
  <si>
    <t xml:space="preserve">Top 20 products - share of revenue</t>
  </si>
  <si>
    <t xml:space="preserve">Top 50 products - share of revenue</t>
  </si>
  <si>
    <t xml:space="preserve">Four 30 kg dal SKUs - share of revenue</t>
  </si>
  <si>
    <t xml:space="preserve">Products that sold under Rs 10,000 in the month</t>
  </si>
  <si>
    <t xml:space="preserve">Products each under 0.01% of revenue</t>
  </si>
  <si>
    <t xml:space="preserve">Commerce products (total)</t>
  </si>
  <si>
    <t xml:space="preserve">Commerce products under Rs 10,000 each</t>
  </si>
  <si>
    <t xml:space="preserve">Commerce products under Rs 1 lakh each</t>
  </si>
  <si>
    <t xml:space="preserve">Combined sales of those Commerce products (Rs)</t>
  </si>
  <si>
    <t xml:space="preserve">E. Low-performing products</t>
  </si>
  <si>
    <t xml:space="preserve">Monaco Biscuits 5/-</t>
  </si>
  <si>
    <t xml:space="preserve">Bakery and Confectionery</t>
  </si>
  <si>
    <t xml:space="preserve">Divyaratna Cool Cool Hair Oil  90 ml</t>
  </si>
  <si>
    <t xml:space="preserve">Personal Care</t>
  </si>
  <si>
    <t xml:space="preserve">Extra Moisturizing Baby Soap 6Nx125 gm Ind</t>
  </si>
  <si>
    <t xml:space="preserve">Anti Dandruff Shampoo Sm 7.5 ml Gen2 India</t>
  </si>
  <si>
    <t xml:space="preserve">Sponges 10/-</t>
  </si>
  <si>
    <t xml:space="preserve">Home Care</t>
  </si>
  <si>
    <t xml:space="preserve">Honey 200 gm</t>
  </si>
  <si>
    <t xml:space="preserve">Jams, Honey, and Spreads</t>
  </si>
  <si>
    <t xml:space="preserve">Almond And Rose Soap 125 gm (Buy 3 Get 1 Free)</t>
  </si>
  <si>
    <t xml:space="preserve">Coir Mattress</t>
  </si>
  <si>
    <t xml:space="preserve">Home Decor</t>
  </si>
  <si>
    <t xml:space="preserve">Hair Removing Cream (Tube)Mix 25 gm</t>
  </si>
  <si>
    <t xml:space="preserve">Juzt Jelly Choclates 1/-</t>
  </si>
  <si>
    <t xml:space="preserve">Sweets and Chocolates</t>
  </si>
  <si>
    <t xml:space="preserve">Weekly Basket</t>
  </si>
  <si>
    <t xml:space="preserve">Milkymist Frozen Paneer</t>
  </si>
  <si>
    <t xml:space="preserve">Dairy Products</t>
  </si>
  <si>
    <t xml:space="preserve">Black Gram Seed</t>
  </si>
  <si>
    <t xml:space="preserve">Black Gram Seeds 4 kg (10 Bags)</t>
  </si>
  <si>
    <t xml:space="preserve">Agrimate 4 Stroke Sparyer</t>
  </si>
  <si>
    <t xml:space="preserve">Rin (Rub) 4*250 gm</t>
  </si>
  <si>
    <t xml:space="preserve">Surf Excel Easy Easy Wash 500 gm Cntr</t>
  </si>
  <si>
    <t xml:space="preserve">Surf Excel Easy Wash 1 kg Cntrs W</t>
  </si>
  <si>
    <t xml:space="preserve">First 12 rows = lowest-selling products overall (all Commerce, each sold once). Last 6 rows = weakest Agri products (mostly seed and equipment lines).</t>
  </si>
  <si>
    <t xml:space="preserve">5. Invoice Analysis</t>
  </si>
  <si>
    <t xml:space="preserve">Invoice count, average invoice value, trends and anomalies</t>
  </si>
  <si>
    <t xml:space="preserve">A. Invoice value distribution</t>
  </si>
  <si>
    <t xml:space="preserve">Invoice value band</t>
  </si>
  <si>
    <t xml:space="preserve">% of invoices</t>
  </si>
  <si>
    <t xml:space="preserve">% of sales</t>
  </si>
  <si>
    <t xml:space="preserve">Up to Rs 100</t>
  </si>
  <si>
    <t xml:space="preserve">Rs 100 - 250</t>
  </si>
  <si>
    <t xml:space="preserve">Rs 250 - 500</t>
  </si>
  <si>
    <t xml:space="preserve">Rs 500 - 1,000</t>
  </si>
  <si>
    <t xml:space="preserve">Rs 1,000 - 2,500</t>
  </si>
  <si>
    <t xml:space="preserve">Rs 2,500 - 5,000</t>
  </si>
  <si>
    <t xml:space="preserve">Rs 10,000 - 50,000</t>
  </si>
  <si>
    <t xml:space="preserve">Above Rs 50,000</t>
  </si>
  <si>
    <t xml:space="preserve">Under Rs 250 (share of invoices / sales)</t>
  </si>
  <si>
    <t xml:space="preserve">Above Rs 10,000 (share of invoices / sales)</t>
  </si>
  <si>
    <t xml:space="preserve">B. Invoice value statistics</t>
  </si>
  <si>
    <t xml:space="preserve">Statistic</t>
  </si>
  <si>
    <t xml:space="preserve">Mean (Rs)</t>
  </si>
  <si>
    <t xml:space="preserve">Median (Rs)</t>
  </si>
  <si>
    <t xml:space="preserve">90th percentile (Rs)</t>
  </si>
  <si>
    <t xml:space="preserve">99th percentile (Rs)</t>
  </si>
  <si>
    <t xml:space="preserve">99.9th percentile (Rs)</t>
  </si>
  <si>
    <t xml:space="preserve">Maximum (Rs)</t>
  </si>
  <si>
    <t xml:space="preserve">Invoices above Rs 50,000</t>
  </si>
  <si>
    <t xml:space="preserve">Sales from invoices above Rs 50,000 (Rs)</t>
  </si>
  <si>
    <t xml:space="preserve">C. Ten largest invoices</t>
  </si>
  <si>
    <t xml:space="preserve">Invoice no</t>
  </si>
  <si>
    <t xml:space="preserve">Date</t>
  </si>
  <si>
    <t xml:space="preserve">Lines</t>
  </si>
  <si>
    <t xml:space="preserve">Units</t>
  </si>
  <si>
    <t xml:space="preserve">Invoice value (Rs)</t>
  </si>
  <si>
    <t xml:space="preserve">HS-INV-CG-09-24-00136303</t>
  </si>
  <si>
    <t xml:space="preserve">Hesa Consumer Products</t>
  </si>
  <si>
    <t xml:space="preserve">HS-INV-CG-09-24-00106055</t>
  </si>
  <si>
    <t xml:space="preserve">HS-INV-CG-09-24-00758654</t>
  </si>
  <si>
    <t xml:space="preserve">HS-INV-CG-09-24-00290955</t>
  </si>
  <si>
    <t xml:space="preserve">HS-INV-CG-09-24-00241338</t>
  </si>
  <si>
    <t xml:space="preserve">HS-INV-CG-09-24-00555741</t>
  </si>
  <si>
    <t xml:space="preserve">HS-INV-AG-09-24-00066201</t>
  </si>
  <si>
    <t xml:space="preserve">Hesa Agritech</t>
  </si>
  <si>
    <t xml:space="preserve">HS-INV-CG-09-24-00112089</t>
  </si>
  <si>
    <t xml:space="preserve">HS-INV-CG-09-24-00530301</t>
  </si>
  <si>
    <t xml:space="preserve">HS-INV-AG-09-24-00534541</t>
  </si>
  <si>
    <t xml:space="preserve">The largest invoices are bulk purchases of 30 kg dal bags, e.g. 573 bags of Suhas Chana Dal on one Telangana invoice = Rs 12.85 lakh.</t>
  </si>
  <si>
    <t xml:space="preserve">D. Daily sales trend</t>
  </si>
  <si>
    <t xml:space="preserve">Weekday</t>
  </si>
  <si>
    <t xml:space="preserve">Week</t>
  </si>
  <si>
    <t xml:space="preserve">vs daily average</t>
  </si>
  <si>
    <t xml:space="preserve">Sunday</t>
  </si>
  <si>
    <t xml:space="preserve">W1 (1-7 Sep)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</si>
  <si>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</si>
  <si>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</si>
  <si>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</si>
  <si>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</si>
  <si>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</si>
  <si>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</si>
  <si>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W2 (8-14 Sep)</t>
  </si>
  <si>
    <t xml:space="preserve">W3 (15-21 Sep)</t>
  </si>
  <si>
    <t xml:space="preserve">W4 (22-28 Sep)</t>
  </si>
  <si>
    <t xml:space="preserve">W5 (29-30 Sep)</t>
  </si>
  <si>
    <t xml:space="preserve">E. Weekly summary</t>
  </si>
  <si>
    <t xml:space="preserve">Days</t>
  </si>
  <si>
    <t xml:space="preserve">Avg daily sales (Rs Cr)</t>
  </si>
  <si>
    <t xml:space="preserve">F. Late-month lift (25-30 Sep vs 1-24 Sep)</t>
  </si>
  <si>
    <t xml:space="preserve">Period</t>
  </si>
  <si>
    <t xml:space="preserve">Avg daily sales (Rs)</t>
  </si>
  <si>
    <t xml:space="preserve">1-24 Sep</t>
  </si>
  <si>
    <t xml:space="preserve">25-30 Sep</t>
  </si>
  <si>
    <t xml:space="preserve">Change</t>
  </si>
  <si>
    <t xml:space="preserve">The late-month lift is led by FMCG (+25% a day) and White Label (+10%), especially Urad Dal 30 kg, Dry Coconut and rice flour.</t>
  </si>
  <si>
    <t xml:space="preserve">G. Average daily sales by weekday</t>
  </si>
  <si>
    <t xml:space="preserve">Avg invoices</t>
  </si>
  <si>
    <t xml:space="preserve">No weekday pattern: every day averages Rs 4.45-4.58 Cr, Sunday included. Invoice count is flat at ~26,000 a day, so revenue moves with invoice value, not volume.</t>
  </si>
  <si>
    <t xml:space="preserve">H. Sales by hour of invoice</t>
  </si>
  <si>
    <t xml:space="preserve">Hour</t>
  </si>
  <si>
    <t xml:space="preserve">9:00 - 10:00</t>
  </si>
  <si>
    <t xml:space="preserve">10:00 - 11:00</t>
  </si>
  <si>
    <t xml:space="preserve">11:00 - 12:00</t>
  </si>
  <si>
    <t xml:space="preserve">12:00 - 13:00</t>
  </si>
  <si>
    <t xml:space="preserve">13:00 - 14:00</t>
  </si>
  <si>
    <t xml:space="preserve">14:00 - 15:00</t>
  </si>
  <si>
    <t xml:space="preserve">15:00 - 16:00</t>
  </si>
  <si>
    <t xml:space="preserve">16:00 - 17:00</t>
  </si>
  <si>
    <t xml:space="preserve">17:00 - 18:00</t>
  </si>
  <si>
    <t xml:space="preserve">Invoices exist only between 9 am and 6 pm; the 9 o'clock hour is about half-size (trading starts mid-hour). Flat hourly revenue may reflect how invoices are generated.</t>
  </si>
  <si>
    <t xml:space="preserve">I. Anomalies and data-quality observations</t>
  </si>
  <si>
    <t xml:space="preserve">1. Karnataka: 76 invoices, 30 reps, one district (Bidar), Rs 1.17 lakh - treat as pilot/test.</t>
  </si>
  <si>
    <t xml:space="preserve">2. s_no repeats for 5,84,357 rows (serial_numbers is unique, no fully duplicated rows), so every row was treated as a valid line.</t>
  </si>
  <si>
    <t xml:space="preserve">3. Category names had 9 spelling variants (e.g. "Stapes and Essentials"); merged by hand: 52 -&gt; 43 category names.</t>
  </si>
  <si>
    <t xml:space="preserve">4. Five Home Care items (Surf Excel, Vim, Rin; Rs 1.64 lakh) are filed under Agri Business; Pumpkin Stand sits under Packaging and Storage Materials - looks mis-classified.</t>
  </si>
  <si>
    <t xml:space="preserve">5. date_rank is blank for 2,17,972 Agri rows and was not used.</t>
  </si>
  <si>
    <t xml:space="preserve">6. Discount field averages 59.7% for Commerce vs 23.8% for Agri; 3.98 lakh lines (21%) carry &gt;60% discount but are only 3.4% of sales. MRP and quantity units do not always match, so treat discount findings as indicative.</t>
  </si>
  <si>
    <t xml:space="preserve">7. Lines per invoice never exceed 6, which suggests a system cap on invoice size.</t>
  </si>
  <si>
    <t xml:space="preserve">8. 30 Sep has fewer invoices (23,876 vs ~26,000) but the highest average invoice - possible cut-off effect.</t>
  </si>
  <si>
    <t xml:space="preserve">6. Key Insights</t>
  </si>
  <si>
    <t xml:space="preserve">Significant findings, opportunities, gaps and areas needing management attention</t>
  </si>
  <si>
    <t xml:space="preserve">#</t>
  </si>
  <si>
    <t xml:space="preserve">Insight</t>
  </si>
  <si>
    <t xml:space="preserve">Evidence from the data</t>
  </si>
  <si>
    <t xml:space="preserve">What it means / action</t>
  </si>
  <si>
    <t xml:space="preserve">Value is concentrated, volume is not</t>
  </si>
  <si>
    <t xml:space="preserve">51% of invoices are under Rs 250 and bring 2.5% of revenue; 3.9% of invoices (above Rs 10,000) bring 53.7%.</t>
  </si>
  <si>
    <t xml:space="preserve">Management attention should follow value, but the low-value base is a large cost-to-serve burden.</t>
  </si>
  <si>
    <t xml:space="preserve">Telangana is the largest market and the least productive</t>
  </si>
  <si>
    <t xml:space="preserve">44.5% of sales and 56% of reps, but only Rs 0.63 lakh sales per rep and Rs 11,812 median per rep. Andhra Pradesh is similar with the lowest basket (Rs 1,442).</t>
  </si>
  <si>
    <t xml:space="preserve">Biggest efficiency lever: activate or consolidate the long tail of reps in TG and AP.</t>
  </si>
  <si>
    <t xml:space="preserve">Maharashtra proves a high-productivity model but is fragile</t>
  </si>
  <si>
    <t xml:space="preserve">172 reps give Rs 17.1 Cr; 60% from Latur; one code (HS005848) = Rs 6.05 Cr = 35% of the state.</t>
  </si>
  <si>
    <t xml:space="preserve">Replicate the Latur model; reduce dependence on a single rep code.</t>
  </si>
  <si>
    <t xml:space="preserve">The field force has a very long tail</t>
  </si>
  <si>
    <t xml:space="preserve">Top 1% of reps = 35.1% of sales; bottom 50% = 3.7%; 40% of reps (6,808) sold under Rs 10,000 = 1.9% of sales.</t>
  </si>
  <si>
    <t xml:space="preserve">Tier reps, set minimum activity standards, coach or exit non-performers.</t>
  </si>
  <si>
    <t xml:space="preserve">Invoice size differs hugely by business model</t>
  </si>
  <si>
    <t xml:space="preserve">White Label Rs 12,556, Value Intervention Rs 8,010, Agri Inputs Rs 6,531 vs FMCG Rs 966 and Market Linkages Rs 1,255 per invoice.</t>
  </si>
  <si>
    <t xml:space="preserve">Cross-sell higher-value lines into the high-frequency Market Linkages and FMCG base.</t>
  </si>
  <si>
    <t xml:space="preserve">Product concentration creates supply and price risk</t>
  </si>
  <si>
    <t xml:space="preserve">68 of 958 products make 80% of revenue; four dal SKUs = 11.7%; 650 of 843 Commerce SKUs sold under Rs 10,000 each.</t>
  </si>
  <si>
    <t xml:space="preserve">Protect availability of the top 68; prune the Commerce long tail; diversify White Label.</t>
  </si>
  <si>
    <t xml:space="preserve">Demand is flat across weekday and hour but rises at month-end</t>
  </si>
  <si>
    <t xml:space="preserve">~26,000 invoices a day; every weekday Rs 4.45-4.58 Cr; 25-30 Sep about +7% a day, led by FMCG and White Label. Week 3 is the weakest (Rs 30.36 Cr).</t>
  </si>
  <si>
    <t xml:space="preserve">Growth must come from basket size, new districts and rep activation; plan stock for last week and test a mid-month offer.</t>
  </si>
  <si>
    <t xml:space="preserve">Coverage gaps in 35+ districts</t>
  </si>
  <si>
    <t xml:space="preserve">17 of 22 Maharashtra, 10 of 24 Odisha and 8 of 19 Tamil Nadu districts are under 1% of their state; many have a single rep.</t>
  </si>
  <si>
    <t xml:space="preserve">Cluster-based expansion with local hubs in under-served districts.</t>
  </si>
  <si>
    <t xml:space="preserve">Customer value is concentrated</t>
  </si>
  <si>
    <t xml:space="preserve">Top 10% of customers = 67.4% of sales; median customer Rs 1,959 vs mean Rs 10,393; 68.5% are repeat buyers.</t>
  </si>
  <si>
    <t xml:space="preserve">Key-account management for the top customers; retention programme for repeat base.</t>
  </si>
  <si>
    <t xml:space="preserve">Data quality needs attention</t>
  </si>
  <si>
    <t xml:space="preserve">Category spelling variants, mis-filed items, mixed units, repeated s_no, blank date_rank.</t>
  </si>
  <si>
    <t xml:space="preserve">Fix master data so future analysis is reliable.</t>
  </si>
  <si>
    <t xml:space="preserve">7. Recommendations for Improvement</t>
  </si>
  <si>
    <t xml:space="preserve">Practical, data-driven measures with KPI and target (targets are suggestions to be calibrated with the business)</t>
  </si>
  <si>
    <t xml:space="preserve">Area</t>
  </si>
  <si>
    <t xml:space="preserve">Recommendation</t>
  </si>
  <si>
    <t xml:space="preserve">Data basis</t>
  </si>
  <si>
    <t xml:space="preserve">KPI</t>
  </si>
  <si>
    <t xml:space="preserve">Suggested target</t>
  </si>
  <si>
    <t xml:space="preserve">Priority</t>
  </si>
  <si>
    <t xml:space="preserve">Raise order value</t>
  </si>
  <si>
    <t xml:space="preserve">Introduce a minimum order / delivery-fee threshold of ~Rs 250 and push add-on selling (bundles of Green Chilli, Lemon, Ladies Finger with staples).</t>
  </si>
  <si>
    <t xml:space="preserve">265,092 invoices are under Rs 100 (average Rs 44). If half reached Rs 250, sales rise ~Rs 2.7 Cr a month (~2%).</t>
  </si>
  <si>
    <t xml:space="preserve">Invoices under Rs 250</t>
  </si>
  <si>
    <t xml:space="preserve">51% -&gt; under 40%</t>
  </si>
  <si>
    <t xml:space="preserve">High</t>
  </si>
  <si>
    <t xml:space="preserve">Combo packs and tiered volume discounts for FMCG and Market Linkages.</t>
  </si>
  <si>
    <t xml:space="preserve">Lowest invoice value (Rs 966 / Rs 1,255) and the largest invoice counts.</t>
  </si>
  <si>
    <t xml:space="preserve">Avg invoice FMCG</t>
  </si>
  <si>
    <t xml:space="preserve">Rs 966 -&gt; Rs 1,100+</t>
  </si>
  <si>
    <t xml:space="preserve">Rep productivity</t>
  </si>
  <si>
    <t xml:space="preserve">Tier reps by sales (above Rs 5 lakh / 1-5 lakh / 25k-1 lakh / below 25k) with different targets and incentives; 60-day activation plan for the 4,501 reps below Rs 5,000 and 569 single-invoice reps; consolidate those who do not respond.</t>
  </si>
  <si>
    <t xml:space="preserve">Bottom 50% of reps = 3.7% of sales; Telangana median rep Rs 11,812.</t>
  </si>
  <si>
    <t xml:space="preserve">Reps below Rs 10,000 a month</t>
  </si>
  <si>
    <t xml:space="preserve">40% -&gt; under 25%</t>
  </si>
  <si>
    <t xml:space="preserve">Use the 333 reps above Rs 5 lakh (42% of sales) as coaches; review retention. Verify whether top codes (HS005815, HS005431, HS006518) are hubs and manage them as key accounts.</t>
  </si>
  <si>
    <t xml:space="preserve">Top 10 reps = 14.7% of sales.</t>
  </si>
  <si>
    <t xml:space="preserve">Share of sales from top 10 reps</t>
  </si>
  <si>
    <t xml:space="preserve">Reduce dependence</t>
  </si>
  <si>
    <t xml:space="preserve">Medium</t>
  </si>
  <si>
    <t xml:space="preserve">Strengthen regions</t>
  </si>
  <si>
    <t xml:space="preserve">Maharashtra: replicate the Latur model (85 reps, Rs 3,818 per invoice) in Dhule, Amravati and the other sub-1% districts.</t>
  </si>
  <si>
    <t xml:space="preserve">Latur = 60% of state; 17 of 22 districts under 1%.</t>
  </si>
  <si>
    <t xml:space="preserve">Districts above 1% of state</t>
  </si>
  <si>
    <t xml:space="preserve">5 -&gt; 10</t>
  </si>
  <si>
    <t xml:space="preserve">Tamil Nadu: add reps beyond Coimbatore. Odisha: move single-rep districts to a cluster/hub approach. Andhra Pradesh: up-sell drive to lift invoice value from Rs 1,442 toward Rs 1,877.</t>
  </si>
  <si>
    <t xml:space="preserve">TN has the highest invoice value (Rs 2,680) but 3.2% of sales; a 10% rise in AP invoice value = ~Rs 2.9 Cr a month.</t>
  </si>
  <si>
    <t xml:space="preserve">Sales per state</t>
  </si>
  <si>
    <t xml:space="preserve">TN: double</t>
  </si>
  <si>
    <t xml:space="preserve">Karnataka: set a 90-day target and scale or exit. Investigate Sangareddy (119 reps, Rs 1.63 lakh) and Chennai.</t>
  </si>
  <si>
    <t xml:space="preserve">Karnataka Rs 1.17 lakh; Sangareddy shows an activity problem.</t>
  </si>
  <si>
    <t xml:space="preserve">Monthly sales</t>
  </si>
  <si>
    <t xml:space="preserve">10x or exit</t>
  </si>
  <si>
    <t xml:space="preserve">Protect high-value core</t>
  </si>
  <si>
    <t xml:space="preserve">Key-account managers for the ~30,000 invoices above Rs 10,000 and the top 10% of customers; cross-sell Farm Machinery and Irrigation Equipment to Market Linkages farmers.</t>
  </si>
  <si>
    <t xml:space="preserve">White Label + Value Intervention + Agri Inputs = 8% of invoices, 38% of sales; top 10% customers = 67.4%.</t>
  </si>
  <si>
    <t xml:space="preserve">Share of sales from key accounts</t>
  </si>
  <si>
    <t xml:space="preserve">Track monthly</t>
  </si>
  <si>
    <t xml:space="preserve">Product portfolio</t>
  </si>
  <si>
    <t xml:space="preserve">Add 2-3 more White Label staples to reduce dependence on four dal SKUs; secure supply and price for them.</t>
  </si>
  <si>
    <t xml:space="preserve">Four dal SKUs = 11.7% of sales.</t>
  </si>
  <si>
    <t xml:space="preserve">Top 4 dal share</t>
  </si>
  <si>
    <t xml:space="preserve">11.7% -&gt; under 10%</t>
  </si>
  <si>
    <t xml:space="preserve">Review the 650 Commerce SKUs that sold under Rs 10,000; delist or consolidate those with no repeat sales; keep the 68 core products always in stock. Review Commerce discount policy and margins.</t>
  </si>
  <si>
    <t xml:space="preserve">650 of 843 Commerce SKUs sold &lt; Rs 10,000; Commerce discount field averages 59.7%.</t>
  </si>
  <si>
    <t xml:space="preserve">Commerce SKUs under Rs 10,000</t>
  </si>
  <si>
    <t xml:space="preserve">Cut by half</t>
  </si>
  <si>
    <t xml:space="preserve">Use the calendar</t>
  </si>
  <si>
    <t xml:space="preserve">Plan stock and rep capacity for the last week of the month; test a mid-month offer to lift the weakest week.</t>
  </si>
  <si>
    <t xml:space="preserve">25-30 Sep about +7% a day; week 3 (15-21 Sep) = Rs 30.36 Cr.</t>
  </si>
  <si>
    <t xml:space="preserve">Week-3 sales</t>
  </si>
  <si>
    <t xml:space="preserve">Reach week-4 level</t>
  </si>
  <si>
    <t xml:space="preserve">Low</t>
  </si>
  <si>
    <t xml:space="preserve">Data quality</t>
  </si>
  <si>
    <t xml:space="preserve">Standardise category names, fix mis-filed items, unify units of measure and make s_no unique. Track monthly KPIs: AOV, avg invoice, % invoices under Rs 250, active reps (10+ invoices), sales per rep, districts above 1% share.</t>
  </si>
  <si>
    <t xml:space="preserve">See anomalies on the 5_Invoices sheet.</t>
  </si>
  <si>
    <t xml:space="preserve">Master-data errors</t>
  </si>
  <si>
    <t xml:space="preserve">Zero</t>
  </si>
  <si>
    <t xml:space="preserve">8. Assumptions and Limitations</t>
  </si>
  <si>
    <t xml:space="preserve">1. Sales revenue = invoice-line "total" (including GST). Taxable value is Rs 134.97 Cr.</t>
  </si>
  <si>
    <t xml:space="preserve">2. Invoice = unique invoice_no; order = unique order_id; sales rep = unique hesaathi_code (the data has no rep names, so reps are shown by code).</t>
  </si>
  <si>
    <t xml:space="preserve">3. Only one month (September 2024) is provided, so month-on-month / year-on-year trends and seasonality cannot be tested. The flat weekday and hourly pattern may reflect how invoices are generated rather than customer behaviour.</t>
  </si>
  <si>
    <t xml:space="preserve">4. Quantities are in different units (kg, pcs, Ltr, Box...), so volume rankings across products are not reliable; revenue and invoice count are used instead.</t>
  </si>
  <si>
    <t xml:space="preserve">5. Discount, MRP and quantity fields do not always reconcile, so discount findings are indicative only.</t>
  </si>
  <si>
    <t xml:space="preserve">6. No cost or margin data is available, so profitability is not analysed; recommendations are based on revenue, not profit.</t>
  </si>
  <si>
    <t xml:space="preserve">7. Nine category spelling variants were merged by hand (52 -&gt; 43 category names). Findings depending on the repeated s_no values or blank date_rank should be confirmed with the data owner.</t>
  </si>
  <si>
    <t xml:space="preserve">8. The raw data has 19.18 lakh rows (more than fits on one Excel sheet), so this workbook holds the aggregated results. Blue numbers were computed from the two data files; black numbers are live formulas.</t>
  </si>
  <si>
    <t xml:space="preserve">9. Targets in the recommendations are suggestions to be calibrated with the business.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</si>
</sst>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#,##0"/>
    <numFmt numFmtId="167" formatCode="#,##0;\(#,##0\);\-"/>
    <numFmt numFmtId="168" formatCode="0.00"/>
    <numFmt numFmtId="169" formatCode="0.0%"/>
    <numFmt numFmtId="170" formatCode="0"/>
    <numFmt numFmtId="171" formatCode="0.00%"/>
    <numFmt numFmtId="172" formatCode="dd\-mmm\-yy"/>
    <numFmt numFmtId="173" formatCode="\+0.0%;\-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D9E2F3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sub-vertical (Rs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1_Overall!C34</c:f>
              <c:strCache>
                <c:ptCount val="1"/>
                <c:pt idx="0">
                  <c:v>Sales (Rs Cr)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1_Overall!$A$35:$A$39</c:f>
              <c:strCache>
                <c:ptCount val="5"/>
                <c:pt idx="0">
                  <c:v>Market Linkages</c:v>
                </c:pt>
                <c:pt idx="1">
                  <c:v>Fmcg</c:v>
                </c:pt>
                <c:pt idx="2">
                  <c:v>Value Intervention</c:v>
                </c:pt>
                <c:pt idx="3">
                  <c:v>White Label</c:v>
                </c:pt>
                <c:pt idx="4">
                  <c:v>Agri inputs</c:v>
                </c:pt>
              </c:strCache>
            </c:strRef>
          </c:cat>
          <c:val>
            <c:numRef>
              <c:f>1_Overall!$C$35:$C$39</c:f>
              <c:numCache>
                <c:formatCode>#,##0.00</c:formatCode>
                <c:ptCount val="5"/>
                <c:pt idx="0">
                  <c:v>61.323235165</c:v>
                </c:pt>
                <c:pt idx="1">
                  <c:v>22.356827115</c:v>
                </c:pt>
                <c:pt idx="2">
                  <c:v>17.751479802</c:v>
                </c:pt>
                <c:pt idx="3">
                  <c:v>17.446360814</c:v>
                </c:pt>
                <c:pt idx="4">
                  <c:v>16.14209209</c:v>
                </c:pt>
              </c:numCache>
            </c:numRef>
          </c:val>
        </c:ser>
        <c:gapWidth val="150"/>
        <c:overlap val="0"/>
        <c:axId val="11986584"/>
        <c:axId val="15055579"/>
      </c:barChart>
      <c:catAx>
        <c:axId val="11986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55579"/>
        <c:crosses val="autoZero"/>
        <c:auto val="1"/>
        <c:lblAlgn val="ctr"/>
        <c:lblOffset val="100"/>
        <c:noMultiLvlLbl val="0"/>
      </c:catAx>
      <c:valAx>
        <c:axId val="15055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865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state (Rs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2_Geography!C4</c:f>
              <c:strCache>
                <c:ptCount val="1"/>
                <c:pt idx="0">
                  <c:v>Sales (Rs Cr)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2_Geography!$A$5:$A$10</c:f>
              <c:strCache>
                <c:ptCount val="6"/>
                <c:pt idx="0">
                  <c:v>Telangana</c:v>
                </c:pt>
                <c:pt idx="1">
                  <c:v>Andhra Pradesh</c:v>
                </c:pt>
                <c:pt idx="2">
                  <c:v>Odisha</c:v>
                </c:pt>
                <c:pt idx="3">
                  <c:v>Maharashtra</c:v>
                </c:pt>
                <c:pt idx="4">
                  <c:v>Tamil Nadu</c:v>
                </c:pt>
                <c:pt idx="5">
                  <c:v>Karnataka</c:v>
                </c:pt>
              </c:strCache>
            </c:strRef>
          </c:cat>
          <c:val>
            <c:numRef>
              <c:f>2_Geography!$C$5:$C$10</c:f>
              <c:numCache>
                <c:formatCode>#,##0.00</c:formatCode>
                <c:ptCount val="6"/>
                <c:pt idx="0">
                  <c:v>60.118356375</c:v>
                </c:pt>
                <c:pt idx="1">
                  <c:v>29.194673548</c:v>
                </c:pt>
                <c:pt idx="2">
                  <c:v>24.306824928</c:v>
                </c:pt>
                <c:pt idx="3">
                  <c:v>17.1073079</c:v>
                </c:pt>
                <c:pt idx="4">
                  <c:v>4.281091544</c:v>
                </c:pt>
                <c:pt idx="5">
                  <c:v>0.011740691</c:v>
                </c:pt>
              </c:numCache>
            </c:numRef>
          </c:val>
        </c:ser>
        <c:gapWidth val="150"/>
        <c:overlap val="0"/>
        <c:axId val="89629525"/>
        <c:axId val="88999804"/>
      </c:barChart>
      <c:catAx>
        <c:axId val="896295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99804"/>
        <c:crosses val="autoZero"/>
        <c:auto val="1"/>
        <c:lblAlgn val="ctr"/>
        <c:lblOffset val="100"/>
        <c:noMultiLvlLbl val="0"/>
      </c:catAx>
      <c:valAx>
        <c:axId val="8899980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295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reps vs share of sales by rep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3_Performance!D29</c:f>
              <c:strCache>
                <c:ptCount val="1"/>
                <c:pt idx="0">
                  <c:v>Share of reps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3_Performance!$A$30:$A$36</c:f>
              <c:strCache>
                <c:ptCount val="7"/>
                <c:pt idx="0">
                  <c:v>Up to Rs 5,000</c:v>
                </c:pt>
                <c:pt idx="1">
                  <c:v>Rs 5,000 - 10,000</c:v>
                </c:pt>
                <c:pt idx="2">
                  <c:v>Rs 10,000 - 25,000</c:v>
                </c:pt>
                <c:pt idx="3">
                  <c:v>Rs 25,000 - 50,000</c:v>
                </c:pt>
                <c:pt idx="4">
                  <c:v>Rs 50,000 - 1 lakh</c:v>
                </c:pt>
                <c:pt idx="5">
                  <c:v>Rs 1 lakh - 5 lakh</c:v>
                </c:pt>
                <c:pt idx="6">
                  <c:v>Above Rs 5 lakh</c:v>
                </c:pt>
              </c:strCache>
            </c:strRef>
          </c:cat>
          <c:val>
            <c:numRef>
              <c:f>3_Performance!$D$30:$D$36</c:f>
              <c:numCache>
                <c:formatCode>0.0%</c:formatCode>
                <c:ptCount val="7"/>
                <c:pt idx="0">
                  <c:v>0.261868745636491</c:v>
                </c:pt>
                <c:pt idx="1">
                  <c:v>0.134221549918548</c:v>
                </c:pt>
                <c:pt idx="2">
                  <c:v>0.179020246683733</c:v>
                </c:pt>
                <c:pt idx="3">
                  <c:v>0.147661158948103</c:v>
                </c:pt>
                <c:pt idx="4">
                  <c:v>0.125610891319525</c:v>
                </c:pt>
                <c:pt idx="5">
                  <c:v>0.132243425645799</c:v>
                </c:pt>
                <c:pt idx="6">
                  <c:v>0.0193739818478008</c:v>
                </c:pt>
              </c:numCache>
            </c:numRef>
          </c:val>
        </c:ser>
        <c:ser>
          <c:idx val="1"/>
          <c:order val="1"/>
          <c:tx>
            <c:strRef>
              <c:f>3_Performance!E29</c:f>
              <c:strCache>
                <c:ptCount val="1"/>
                <c:pt idx="0">
                  <c:v>Share of sales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3_Performance!$A$30:$A$36</c:f>
              <c:strCache>
                <c:ptCount val="7"/>
                <c:pt idx="0">
                  <c:v>Up to Rs 5,000</c:v>
                </c:pt>
                <c:pt idx="1">
                  <c:v>Rs 5,000 - 10,000</c:v>
                </c:pt>
                <c:pt idx="2">
                  <c:v>Rs 10,000 - 25,000</c:v>
                </c:pt>
                <c:pt idx="3">
                  <c:v>Rs 25,000 - 50,000</c:v>
                </c:pt>
                <c:pt idx="4">
                  <c:v>Rs 50,000 - 1 lakh</c:v>
                </c:pt>
                <c:pt idx="5">
                  <c:v>Rs 1 lakh - 5 lakh</c:v>
                </c:pt>
                <c:pt idx="6">
                  <c:v>Above Rs 5 lakh</c:v>
                </c:pt>
              </c:strCache>
            </c:strRef>
          </c:cat>
          <c:val>
            <c:numRef>
              <c:f>3_Performance!$E$30:$E$36</c:f>
              <c:numCache>
                <c:formatCode>0.0%</c:formatCode>
                <c:ptCount val="7"/>
                <c:pt idx="0">
                  <c:v>0.00705187558404758</c:v>
                </c:pt>
                <c:pt idx="1">
                  <c:v>0.0124236593563341</c:v>
                </c:pt>
                <c:pt idx="2">
                  <c:v>0.0374364470130821</c:v>
                </c:pt>
                <c:pt idx="3">
                  <c:v>0.0673673532867717</c:v>
                </c:pt>
                <c:pt idx="4">
                  <c:v>0.11401361142545</c:v>
                </c:pt>
                <c:pt idx="5">
                  <c:v>0.3376637900907</c:v>
                </c:pt>
                <c:pt idx="6">
                  <c:v>0.424043263243615</c:v>
                </c:pt>
              </c:numCache>
            </c:numRef>
          </c:val>
        </c:ser>
        <c:gapWidth val="150"/>
        <c:overlap val="0"/>
        <c:axId val="41089443"/>
        <c:axId val="55380052"/>
      </c:barChart>
      <c:catAx>
        <c:axId val="410894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80052"/>
        <c:crosses val="autoZero"/>
        <c:auto val="1"/>
        <c:lblAlgn val="ctr"/>
        <c:lblOffset val="100"/>
        <c:noMultiLvlLbl val="0"/>
      </c:catAx>
      <c:valAx>
        <c:axId val="553800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894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revenue (Rs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4_Products!F4</c:f>
              <c:strCache>
                <c:ptCount val="1"/>
                <c:pt idx="0">
                  <c:v>Sales (Rs Cr)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4_Products!$B$5:$B$14</c:f>
              <c:strCache>
                <c:ptCount val="10"/>
                <c:pt idx="0">
                  <c:v>Suhas Urad Dal 30 kg</c:v>
                </c:pt>
                <c:pt idx="1">
                  <c:v>Green Moong 30 Kg</c:v>
                </c:pt>
                <c:pt idx="2">
                  <c:v>Coco Peat</c:v>
                </c:pt>
                <c:pt idx="3">
                  <c:v>Ladies Finger</c:v>
                </c:pt>
                <c:pt idx="4">
                  <c:v>Tender Coconut</c:v>
                </c:pt>
                <c:pt idx="5">
                  <c:v>Suhas Chana Dal 30 kg</c:v>
                </c:pt>
                <c:pt idx="6">
                  <c:v>Maize (Corn)</c:v>
                </c:pt>
                <c:pt idx="7">
                  <c:v>Green Chilli</c:v>
                </c:pt>
                <c:pt idx="8">
                  <c:v>Rice Husk</c:v>
                </c:pt>
                <c:pt idx="9">
                  <c:v>Millets</c:v>
                </c:pt>
              </c:strCache>
            </c:strRef>
          </c:cat>
          <c:val>
            <c:numRef>
              <c:f>4_Products!$F$5:$F$14</c:f>
              <c:numCache>
                <c:formatCode>#,##0.00</c:formatCode>
                <c:ptCount val="10"/>
                <c:pt idx="0">
                  <c:v>5.572502975</c:v>
                </c:pt>
                <c:pt idx="1">
                  <c:v>4.725754366</c:v>
                </c:pt>
                <c:pt idx="2">
                  <c:v>4.38800517</c:v>
                </c:pt>
                <c:pt idx="3">
                  <c:v>4.163091599</c:v>
                </c:pt>
                <c:pt idx="4">
                  <c:v>3.55664977</c:v>
                </c:pt>
                <c:pt idx="5">
                  <c:v>3.497531618</c:v>
                </c:pt>
                <c:pt idx="6">
                  <c:v>3.452280234</c:v>
                </c:pt>
                <c:pt idx="7">
                  <c:v>3.243322695</c:v>
                </c:pt>
                <c:pt idx="8">
                  <c:v>3.033145402</c:v>
                </c:pt>
                <c:pt idx="9">
                  <c:v>2.594955897</c:v>
                </c:pt>
              </c:numCache>
            </c:numRef>
          </c:val>
        </c:ser>
        <c:gapWidth val="150"/>
        <c:overlap val="0"/>
        <c:axId val="95630852"/>
        <c:axId val="93619798"/>
      </c:barChart>
      <c:catAx>
        <c:axId val="956308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19798"/>
        <c:crosses val="autoZero"/>
        <c:auto val="1"/>
        <c:lblAlgn val="ctr"/>
        <c:lblOffset val="100"/>
        <c:noMultiLvlLbl val="0"/>
      </c:catAx>
      <c:valAx>
        <c:axId val="936197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308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of invoices vs % of sales by invoice value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5_Invoices!D4</c:f>
              <c:strCache>
                <c:ptCount val="1"/>
                <c:pt idx="0">
                  <c:v>% of invoices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5_Invoices!$A$5:$A$13</c:f>
              <c:strCache>
                <c:ptCount val="9"/>
                <c:pt idx="0">
                  <c:v>Up to Rs 100</c:v>
                </c:pt>
                <c:pt idx="1">
                  <c:v>Rs 100 - 250</c:v>
                </c:pt>
                <c:pt idx="2">
                  <c:v>Rs 250 - 500</c:v>
                </c:pt>
                <c:pt idx="3">
                  <c:v>Rs 500 - 1,000</c:v>
                </c:pt>
                <c:pt idx="4">
                  <c:v>Rs 1,000 - 2,500</c:v>
                </c:pt>
                <c:pt idx="5">
                  <c:v>Rs 2,500 - 5,000</c:v>
                </c:pt>
                <c:pt idx="6">
                  <c:v>Rs 5,000 - 10,000</c:v>
                </c:pt>
                <c:pt idx="7">
                  <c:v>Rs 10,000 - 50,000</c:v>
                </c:pt>
                <c:pt idx="8">
                  <c:v>Above Rs 50,000</c:v>
                </c:pt>
              </c:strCache>
            </c:strRef>
          </c:cat>
          <c:val>
            <c:numRef>
              <c:f>5_Invoices!$D$5:$D$13</c:f>
              <c:numCache>
                <c:formatCode>0.0%</c:formatCode>
                <c:ptCount val="9"/>
                <c:pt idx="0">
                  <c:v>0.340056416946635</c:v>
                </c:pt>
                <c:pt idx="1">
                  <c:v>0.170438700126868</c:v>
                </c:pt>
                <c:pt idx="2">
                  <c:v>0.127857887789541</c:v>
                </c:pt>
                <c:pt idx="3">
                  <c:v>0.113590737255838</c:v>
                </c:pt>
                <c:pt idx="4">
                  <c:v>0.119054124607307</c:v>
                </c:pt>
                <c:pt idx="5">
                  <c:v>0.0541669392587804</c:v>
                </c:pt>
                <c:pt idx="6">
                  <c:v>0.0362027982702908</c:v>
                </c:pt>
                <c:pt idx="7">
                  <c:v>0.035953937705326</c:v>
                </c:pt>
                <c:pt idx="8">
                  <c:v>0.0026784580394149</c:v>
                </c:pt>
              </c:numCache>
            </c:numRef>
          </c:val>
        </c:ser>
        <c:ser>
          <c:idx val="1"/>
          <c:order val="1"/>
          <c:tx>
            <c:strRef>
              <c:f>5_Invoices!E4</c:f>
              <c:strCache>
                <c:ptCount val="1"/>
                <c:pt idx="0">
                  <c:v>% of sales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5_Invoices!$A$5:$A$13</c:f>
              <c:strCache>
                <c:ptCount val="9"/>
                <c:pt idx="0">
                  <c:v>Up to Rs 100</c:v>
                </c:pt>
                <c:pt idx="1">
                  <c:v>Rs 100 - 250</c:v>
                </c:pt>
                <c:pt idx="2">
                  <c:v>Rs 250 - 500</c:v>
                </c:pt>
                <c:pt idx="3">
                  <c:v>Rs 500 - 1,000</c:v>
                </c:pt>
                <c:pt idx="4">
                  <c:v>Rs 1,000 - 2,500</c:v>
                </c:pt>
                <c:pt idx="5">
                  <c:v>Rs 2,500 - 5,000</c:v>
                </c:pt>
                <c:pt idx="6">
                  <c:v>Rs 5,000 - 10,000</c:v>
                </c:pt>
                <c:pt idx="7">
                  <c:v>Rs 10,000 - 50,000</c:v>
                </c:pt>
                <c:pt idx="8">
                  <c:v>Above Rs 50,000</c:v>
                </c:pt>
              </c:strCache>
            </c:strRef>
          </c:cat>
          <c:val>
            <c:numRef>
              <c:f>5_Invoices!$E$5:$E$13</c:f>
              <c:numCache>
                <c:formatCode>0.0%</c:formatCode>
                <c:ptCount val="9"/>
                <c:pt idx="0">
                  <c:v>0.00859658533627077</c:v>
                </c:pt>
                <c:pt idx="1">
                  <c:v>0.0164039413809018</c:v>
                </c:pt>
                <c:pt idx="2">
                  <c:v>0.0264271163494709</c:v>
                </c:pt>
                <c:pt idx="3">
                  <c:v>0.0463239801234516</c:v>
                </c:pt>
                <c:pt idx="4">
                  <c:v>0.10946239961372</c:v>
                </c:pt>
                <c:pt idx="5">
                  <c:v>0.108102175618607</c:v>
                </c:pt>
                <c:pt idx="6">
                  <c:v>0.148509605381626</c:v>
                </c:pt>
                <c:pt idx="7">
                  <c:v>0.398586634887523</c:v>
                </c:pt>
                <c:pt idx="8">
                  <c:v>0.137587561308429</c:v>
                </c:pt>
              </c:numCache>
            </c:numRef>
          </c:val>
        </c:ser>
        <c:gapWidth val="150"/>
        <c:overlap val="0"/>
        <c:axId val="11751764"/>
        <c:axId val="2255322"/>
      </c:barChart>
      <c:catAx>
        <c:axId val="117517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5322"/>
        <c:crosses val="autoZero"/>
        <c:auto val="1"/>
        <c:lblAlgn val="ctr"/>
        <c:lblOffset val="100"/>
        <c:noMultiLvlLbl val="0"/>
      </c:catAx>
      <c:valAx>
        <c:axId val="2255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517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sales (Rs Cr), September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5_Invoices!E46</c:f>
              <c:strCache>
                <c:ptCount val="1"/>
                <c:pt idx="0">
                  <c:v>Sales (Rs Cr)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5_Invoices!$A$47:$A$76</c:f>
              <c:strCache>
                <c:ptCount val="30"/>
                <c:pt idx="0">
                  <c:v>01-Sep-24</c:v>
                </c:pt>
                <c:pt idx="1">
                  <c:v>02-Sep-24</c:v>
                </c:pt>
                <c:pt idx="2">
                  <c:v>03-Sep-24</c:v>
                </c:pt>
                <c:pt idx="3">
                  <c:v>04-Sep-24</c:v>
                </c:pt>
                <c:pt idx="4">
                  <c:v>05-Sep-24</c:v>
                </c:pt>
                <c:pt idx="5">
                  <c:v>06-Sep-24</c:v>
                </c:pt>
                <c:pt idx="6">
                  <c:v>07-Sep-24</c:v>
                </c:pt>
                <c:pt idx="7">
                  <c:v>08-Sep-24</c:v>
                </c:pt>
                <c:pt idx="8">
                  <c:v>09-Sep-24</c:v>
                </c:pt>
                <c:pt idx="9">
                  <c:v>10-Sep-24</c:v>
                </c:pt>
                <c:pt idx="10">
                  <c:v>11-Sep-24</c:v>
                </c:pt>
                <c:pt idx="11">
                  <c:v>12-Sep-24</c:v>
                </c:pt>
                <c:pt idx="12">
                  <c:v>13-Sep-24</c:v>
                </c:pt>
                <c:pt idx="13">
                  <c:v>14-Sep-24</c:v>
                </c:pt>
                <c:pt idx="14">
                  <c:v>15-Sep-24</c:v>
                </c:pt>
                <c:pt idx="15">
                  <c:v>16-Sep-24</c:v>
                </c:pt>
                <c:pt idx="16">
                  <c:v>17-Sep-24</c:v>
                </c:pt>
                <c:pt idx="17">
                  <c:v>18-Sep-24</c:v>
                </c:pt>
                <c:pt idx="18">
                  <c:v>19-Sep-24</c:v>
                </c:pt>
                <c:pt idx="19">
                  <c:v>20-Sep-24</c:v>
                </c:pt>
                <c:pt idx="20">
                  <c:v>21-Sep-24</c:v>
                </c:pt>
                <c:pt idx="21">
                  <c:v>22-Sep-24</c:v>
                </c:pt>
                <c:pt idx="22">
                  <c:v>23-Sep-24</c:v>
                </c:pt>
                <c:pt idx="23">
                  <c:v>24-Sep-24</c:v>
                </c:pt>
                <c:pt idx="24">
                  <c:v>25-Sep-24</c:v>
                </c:pt>
                <c:pt idx="25">
                  <c:v>26-Sep-24</c:v>
                </c:pt>
                <c:pt idx="26">
                  <c:v>27-Sep-24</c:v>
                </c:pt>
                <c:pt idx="27">
                  <c:v>28-Sep-24</c:v>
                </c:pt>
                <c:pt idx="28">
                  <c:v>29-Sep-24</c:v>
                </c:pt>
                <c:pt idx="29">
                  <c:v>30-Sep-24</c:v>
                </c:pt>
              </c:strCache>
            </c:strRef>
          </c:cat>
          <c:val>
            <c:numRef>
              <c:f>5_Invoices!$E$47:$E$76</c:f>
              <c:numCache>
                <c:formatCode>#,##0.00</c:formatCode>
                <c:ptCount val="30"/>
                <c:pt idx="0">
                  <c:v>4.500541776</c:v>
                </c:pt>
                <c:pt idx="1">
                  <c:v>4.623622002</c:v>
                </c:pt>
                <c:pt idx="2">
                  <c:v>4.438167824</c:v>
                </c:pt>
                <c:pt idx="3">
                  <c:v>4.387323818</c:v>
                </c:pt>
                <c:pt idx="4">
                  <c:v>4.451735155</c:v>
                </c:pt>
                <c:pt idx="5">
                  <c:v>4.405206592</c:v>
                </c:pt>
                <c:pt idx="6">
                  <c:v>4.490458723</c:v>
                </c:pt>
                <c:pt idx="7">
                  <c:v>4.517703211</c:v>
                </c:pt>
                <c:pt idx="8">
                  <c:v>4.423974448</c:v>
                </c:pt>
                <c:pt idx="9">
                  <c:v>4.61979367</c:v>
                </c:pt>
                <c:pt idx="10">
                  <c:v>4.463527387</c:v>
                </c:pt>
                <c:pt idx="11">
                  <c:v>4.664994128</c:v>
                </c:pt>
                <c:pt idx="12">
                  <c:v>4.494605995</c:v>
                </c:pt>
                <c:pt idx="13">
                  <c:v>4.223273705</c:v>
                </c:pt>
                <c:pt idx="14">
                  <c:v>4.453004029</c:v>
                </c:pt>
                <c:pt idx="15">
                  <c:v>4.252296814</c:v>
                </c:pt>
                <c:pt idx="16">
                  <c:v>4.340695285</c:v>
                </c:pt>
                <c:pt idx="17">
                  <c:v>4.237947321</c:v>
                </c:pt>
                <c:pt idx="18">
                  <c:v>4.331290173</c:v>
                </c:pt>
                <c:pt idx="19">
                  <c:v>4.294803911</c:v>
                </c:pt>
                <c:pt idx="20">
                  <c:v>4.452661936</c:v>
                </c:pt>
                <c:pt idx="21">
                  <c:v>4.484544807</c:v>
                </c:pt>
                <c:pt idx="22">
                  <c:v>4.440944312</c:v>
                </c:pt>
                <c:pt idx="23">
                  <c:v>4.431892951</c:v>
                </c:pt>
                <c:pt idx="24">
                  <c:v>4.752606333</c:v>
                </c:pt>
                <c:pt idx="25">
                  <c:v>4.862975756</c:v>
                </c:pt>
                <c:pt idx="26">
                  <c:v>4.616789805</c:v>
                </c:pt>
                <c:pt idx="27">
                  <c:v>4.895877806</c:v>
                </c:pt>
                <c:pt idx="28">
                  <c:v>4.86484292</c:v>
                </c:pt>
                <c:pt idx="29">
                  <c:v>4.601892393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621927"/>
        <c:axId val="69118905"/>
      </c:lineChart>
      <c:catAx>
        <c:axId val="71621927"/>
        <c:scaling>
          <c:orientation val="minMax"/>
        </c:scaling>
        <c:delete val="0"/>
        <c:axPos val="b"/>
        <c:numFmt formatCode="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18905"/>
        <c:crosses val="autoZero"/>
        <c:auto val="1"/>
        <c:lblAlgn val="ctr"/>
        <c:lblOffset val="100"/>
        <c:noMultiLvlLbl val="0"/>
      </c:catAx>
      <c:valAx>
        <c:axId val="69118905"/>
        <c:scaling>
          <c:orientation val="minMax"/>
          <c:min val="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219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18</xdr:col>
      <xdr:colOff>255960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1160712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131040</xdr:rowOff>
    </xdr:from>
    <xdr:to>
      <xdr:col>21</xdr:col>
      <xdr:colOff>507600</xdr:colOff>
      <xdr:row>15</xdr:row>
      <xdr:rowOff>115200</xdr:rowOff>
    </xdr:to>
    <xdr:graphicFrame>
      <xdr:nvGraphicFramePr>
        <xdr:cNvPr id="1" name="Chart 1"/>
        <xdr:cNvGraphicFramePr/>
      </xdr:nvGraphicFramePr>
      <xdr:xfrm>
        <a:off x="12312000" y="571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19</xdr:col>
      <xdr:colOff>364680</xdr:colOff>
      <xdr:row>16</xdr:row>
      <xdr:rowOff>133920</xdr:rowOff>
    </xdr:to>
    <xdr:graphicFrame>
      <xdr:nvGraphicFramePr>
        <xdr:cNvPr id="2" name="Chart 1"/>
        <xdr:cNvGraphicFramePr/>
      </xdr:nvGraphicFramePr>
      <xdr:xfrm>
        <a:off x="1428552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131040</xdr:rowOff>
    </xdr:from>
    <xdr:to>
      <xdr:col>21</xdr:col>
      <xdr:colOff>4320</xdr:colOff>
      <xdr:row>18</xdr:row>
      <xdr:rowOff>113040</xdr:rowOff>
    </xdr:to>
    <xdr:graphicFrame>
      <xdr:nvGraphicFramePr>
        <xdr:cNvPr id="3" name="Chart 1"/>
        <xdr:cNvGraphicFramePr/>
      </xdr:nvGraphicFramePr>
      <xdr:xfrm>
        <a:off x="14403600" y="571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130680</xdr:rowOff>
    </xdr:from>
    <xdr:to>
      <xdr:col>20</xdr:col>
      <xdr:colOff>113040</xdr:colOff>
      <xdr:row>17</xdr:row>
      <xdr:rowOff>112680</xdr:rowOff>
    </xdr:to>
    <xdr:graphicFrame>
      <xdr:nvGraphicFramePr>
        <xdr:cNvPr id="4" name="Chart 1"/>
        <xdr:cNvGraphicFramePr/>
      </xdr:nvGraphicFramePr>
      <xdr:xfrm>
        <a:off x="12030120" y="380880"/>
        <a:ext cx="68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44</xdr:row>
      <xdr:rowOff>131040</xdr:rowOff>
    </xdr:from>
    <xdr:to>
      <xdr:col>20</xdr:col>
      <xdr:colOff>113040</xdr:colOff>
      <xdr:row>60</xdr:row>
      <xdr:rowOff>113040</xdr:rowOff>
    </xdr:to>
    <xdr:graphicFrame>
      <xdr:nvGraphicFramePr>
        <xdr:cNvPr id="5" name="Chart 2"/>
        <xdr:cNvGraphicFramePr/>
      </xdr:nvGraphicFramePr>
      <xdr:xfrm>
        <a:off x="12030120" y="9201240"/>
        <a:ext cx="68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ales_Analysis_Report_Sep2024.xlsx" TargetMode="External"/><Relationship Id="rId2" Type="http://schemas.openxmlformats.org/officeDocument/2006/relationships/hyperlink" Target="Sales_Analysis_Report_Sep2024.xlsx" TargetMode="External"/><Relationship Id="rId3" Type="http://schemas.openxmlformats.org/officeDocument/2006/relationships/hyperlink" Target="Sales_Analysis_Report_Sep2024.xlsx" TargetMode="External"/><Relationship Id="rId4" Type="http://schemas.openxmlformats.org/officeDocument/2006/relationships/hyperlink" Target="Sales_Analysis_Report_Sep2024.xlsx" TargetMode="External"/><Relationship Id="rId5" Type="http://schemas.openxmlformats.org/officeDocument/2006/relationships/hyperlink" Target="Sales_Analysis_Report_Sep2024.xlsx" TargetMode="External"/><Relationship Id="rId6" Type="http://schemas.openxmlformats.org/officeDocument/2006/relationships/hyperlink" Target="Sales_Analysis_Report_Sep2024.xlsx" TargetMode="External"/><Relationship Id="rId7" Type="http://schemas.openxmlformats.org/officeDocument/2006/relationships/hyperlink" Target="Sales_Analysis_Report_Sep2024.xlsx" TargetMode="External"/><Relationship Id="rId8" Type="http://schemas.openxmlformats.org/officeDocument/2006/relationships/hyperlink" Target="Sales_Analysis_Report_Sep2024.xlsx" TargetMode="External"/><Relationship Id="rId9" Type="http://schemas.openxmlformats.org/officeDocument/2006/relationships/hyperlink" Target="Sales_Analysis_Report_Sep2024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6" min="3" style="0" width="18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1_Overall!B6</f>
        <v>135.019994986</v>
      </c>
    </row>
    <row r="6" customFormat="false" ht="15" hidden="false" customHeight="false" outlineLevel="0" collapsed="false">
      <c r="A6" s="4" t="s">
        <v>4</v>
      </c>
      <c r="B6" s="6" t="n">
        <f aca="false">1_Overall!B8</f>
        <v>779553</v>
      </c>
    </row>
    <row r="7" customFormat="false" ht="15" hidden="false" customHeight="false" outlineLevel="0" collapsed="false">
      <c r="A7" s="4" t="s">
        <v>5</v>
      </c>
      <c r="B7" s="6" t="n">
        <f aca="false">1_Overall!B9</f>
        <v>535627</v>
      </c>
    </row>
    <row r="8" customFormat="false" ht="15" hidden="false" customHeight="false" outlineLevel="0" collapsed="false">
      <c r="A8" s="4" t="s">
        <v>6</v>
      </c>
      <c r="B8" s="7" t="n">
        <f aca="false">1_Overall!B17</f>
        <v>1732.01815637936</v>
      </c>
    </row>
    <row r="9" customFormat="false" ht="15" hidden="false" customHeight="false" outlineLevel="0" collapsed="false">
      <c r="A9" s="4" t="s">
        <v>7</v>
      </c>
      <c r="B9" s="7" t="n">
        <f aca="false">1_Overall!B18</f>
        <v>2520.7839594718</v>
      </c>
    </row>
    <row r="10" customFormat="false" ht="15" hidden="false" customHeight="false" outlineLevel="0" collapsed="false">
      <c r="A10" s="4" t="s">
        <v>8</v>
      </c>
      <c r="B10" s="5" t="n">
        <f aca="false">1_Overall!B21</f>
        <v>4.50066649953333</v>
      </c>
    </row>
    <row r="11" customFormat="false" ht="15" hidden="false" customHeight="false" outlineLevel="0" collapsed="false">
      <c r="A11" s="4" t="s">
        <v>9</v>
      </c>
      <c r="B11" s="6" t="n">
        <f aca="false">1_Overall!B11</f>
        <v>129915</v>
      </c>
    </row>
    <row r="12" customFormat="false" ht="15" hidden="false" customHeight="false" outlineLevel="0" collapsed="false">
      <c r="A12" s="4" t="s">
        <v>10</v>
      </c>
      <c r="B12" s="6" t="n">
        <f aca="false">1_Overall!B12</f>
        <v>17188</v>
      </c>
    </row>
    <row r="14" customFormat="false" ht="15" hidden="false" customHeight="false" outlineLevel="0" collapsed="false">
      <c r="A14" s="3" t="s">
        <v>11</v>
      </c>
    </row>
    <row r="15" customFormat="false" ht="27.75" hidden="false" customHeight="true" outlineLevel="0" collapsed="false">
      <c r="A15" s="8" t="s">
        <v>12</v>
      </c>
      <c r="B15" s="8"/>
      <c r="C15" s="8"/>
      <c r="D15" s="8"/>
      <c r="E15" s="8"/>
      <c r="F15" s="8"/>
    </row>
    <row r="16" customFormat="false" ht="27.75" hidden="false" customHeight="true" outlineLevel="0" collapsed="false">
      <c r="A16" s="8" t="s">
        <v>13</v>
      </c>
      <c r="B16" s="8"/>
      <c r="C16" s="8"/>
      <c r="D16" s="8"/>
      <c r="E16" s="8"/>
      <c r="F16" s="8"/>
    </row>
    <row r="17" customFormat="false" ht="27.75" hidden="false" customHeight="true" outlineLevel="0" collapsed="false">
      <c r="A17" s="8" t="s">
        <v>14</v>
      </c>
      <c r="B17" s="8"/>
      <c r="C17" s="8"/>
      <c r="D17" s="8"/>
      <c r="E17" s="8"/>
      <c r="F17" s="8"/>
    </row>
    <row r="18" customFormat="false" ht="27.75" hidden="false" customHeight="true" outlineLevel="0" collapsed="false">
      <c r="A18" s="8" t="s">
        <v>15</v>
      </c>
      <c r="B18" s="8"/>
      <c r="C18" s="8"/>
      <c r="D18" s="8"/>
      <c r="E18" s="8"/>
      <c r="F18" s="8"/>
    </row>
    <row r="19" customFormat="false" ht="27.75" hidden="false" customHeight="true" outlineLevel="0" collapsed="false">
      <c r="A19" s="8" t="s">
        <v>16</v>
      </c>
      <c r="B19" s="8"/>
      <c r="C19" s="8"/>
      <c r="D19" s="8"/>
      <c r="E19" s="8"/>
      <c r="F19" s="8"/>
    </row>
    <row r="20" customFormat="false" ht="27.75" hidden="false" customHeight="true" outlineLevel="0" collapsed="false">
      <c r="A20" s="8" t="s">
        <v>17</v>
      </c>
      <c r="B20" s="8"/>
      <c r="C20" s="8"/>
      <c r="D20" s="8"/>
      <c r="E20" s="8"/>
      <c r="F20" s="8"/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9" t="s">
        <v>19</v>
      </c>
      <c r="B23" s="10" t="s">
        <v>20</v>
      </c>
    </row>
    <row r="24" customFormat="false" ht="15" hidden="false" customHeight="false" outlineLevel="0" collapsed="false">
      <c r="A24" s="9" t="s">
        <v>21</v>
      </c>
      <c r="B24" s="10" t="s">
        <v>22</v>
      </c>
    </row>
    <row r="25" customFormat="false" ht="15" hidden="false" customHeight="false" outlineLevel="0" collapsed="false">
      <c r="A25" s="9" t="s">
        <v>23</v>
      </c>
      <c r="B25" s="10" t="s">
        <v>24</v>
      </c>
    </row>
    <row r="26" customFormat="false" ht="15" hidden="false" customHeight="false" outlineLevel="0" collapsed="false">
      <c r="A26" s="9" t="s">
        <v>25</v>
      </c>
      <c r="B26" s="10" t="s">
        <v>26</v>
      </c>
    </row>
    <row r="27" customFormat="false" ht="15" hidden="false" customHeight="false" outlineLevel="0" collapsed="false">
      <c r="A27" s="9" t="s">
        <v>27</v>
      </c>
      <c r="B27" s="10" t="s">
        <v>28</v>
      </c>
    </row>
    <row r="28" customFormat="false" ht="15" hidden="false" customHeight="false" outlineLevel="0" collapsed="false">
      <c r="A28" s="9" t="s">
        <v>29</v>
      </c>
      <c r="B28" s="10" t="s">
        <v>30</v>
      </c>
    </row>
    <row r="29" customFormat="false" ht="15" hidden="false" customHeight="false" outlineLevel="0" collapsed="false">
      <c r="A29" s="9" t="s">
        <v>31</v>
      </c>
      <c r="B29" s="10" t="s">
        <v>32</v>
      </c>
    </row>
    <row r="30" customFormat="false" ht="15" hidden="false" customHeight="false" outlineLevel="0" collapsed="false">
      <c r="A30" s="9" t="s">
        <v>33</v>
      </c>
      <c r="B30" s="10" t="s">
        <v>34</v>
      </c>
    </row>
    <row r="31" customFormat="false" ht="15" hidden="false" customHeight="false" outlineLevel="0" collapsed="false">
      <c r="A31" s="9" t="s">
        <v>35</v>
      </c>
      <c r="B31" s="10" t="s">
        <v>36</v>
      </c>
    </row>
  </sheetData>
  <mergeCells count="6">
    <mergeCell ref="A15:F15"/>
    <mergeCell ref="A16:F16"/>
    <mergeCell ref="A17:F17"/>
    <mergeCell ref="A18:F18"/>
    <mergeCell ref="A19:F19"/>
    <mergeCell ref="A20:F20"/>
  </mergeCells>
  <hyperlinks>
    <hyperlink ref="A23" r:id="rId1" location="'1_Overall'!A1" display="1_Overall"/>
    <hyperlink ref="A24" r:id="rId2" location="'2_Geography'!A1" display="2_Geography"/>
    <hyperlink ref="A25" r:id="rId3" location="'2b_Districts'!A1" display="2b_Districts"/>
    <hyperlink ref="A26" r:id="rId4" location="'3_Performance'!A1" display="3_Performance"/>
    <hyperlink ref="A27" r:id="rId5" location="'4_Products'!A1" display="4_Products"/>
    <hyperlink ref="A28" r:id="rId6" location="'5_Invoices'!A1" display="5_Invoices"/>
    <hyperlink ref="A29" r:id="rId7" location="'6_Insights'!A1" display="6_Insights"/>
    <hyperlink ref="A30" r:id="rId8" location="'7_Recommendations'!A1" display="7_Recommendations"/>
    <hyperlink ref="A31" r:id="rId9" location="'8_Assumptions'!A1" display="8_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8" min="7" style="0" width="16"/>
  </cols>
  <sheetData>
    <row r="1" customFormat="false" ht="19.7" hidden="false" customHeight="false" outlineLevel="0" collapsed="false">
      <c r="A1" s="11" t="s">
        <v>37</v>
      </c>
    </row>
    <row r="2" customFormat="false" ht="15" hidden="false" customHeight="false" outlineLevel="0" collapsed="false">
      <c r="A2" s="12" t="s">
        <v>38</v>
      </c>
    </row>
    <row r="3" customFormat="false" ht="15" hidden="false" customHeight="false" outlineLevel="0" collapsed="false">
      <c r="A3" s="3" t="s">
        <v>39</v>
      </c>
    </row>
    <row r="4" customFormat="false" ht="15" hidden="false" customHeight="false" outlineLevel="0" collapsed="false">
      <c r="A4" s="13" t="s">
        <v>40</v>
      </c>
      <c r="B4" s="13" t="s">
        <v>41</v>
      </c>
      <c r="C4" s="13" t="s">
        <v>42</v>
      </c>
    </row>
    <row r="5" customFormat="false" ht="15" hidden="false" customHeight="false" outlineLevel="0" collapsed="false">
      <c r="A5" s="14" t="s">
        <v>43</v>
      </c>
      <c r="B5" s="15" t="n">
        <f aca="false">B30</f>
        <v>1350199949.86</v>
      </c>
      <c r="C5" s="16" t="s">
        <v>44</v>
      </c>
    </row>
    <row r="6" customFormat="false" ht="15" hidden="false" customHeight="false" outlineLevel="0" collapsed="false">
      <c r="A6" s="14" t="s">
        <v>3</v>
      </c>
      <c r="B6" s="17" t="n">
        <f aca="false">B5/10000000</f>
        <v>135.019994986</v>
      </c>
      <c r="C6" s="16" t="s">
        <v>45</v>
      </c>
    </row>
    <row r="7" customFormat="false" ht="15" hidden="false" customHeight="false" outlineLevel="0" collapsed="false">
      <c r="A7" s="14" t="s">
        <v>46</v>
      </c>
      <c r="B7" s="18" t="n">
        <v>1349717438.79</v>
      </c>
      <c r="C7" s="16" t="s">
        <v>47</v>
      </c>
    </row>
    <row r="8" customFormat="false" ht="15" hidden="false" customHeight="false" outlineLevel="0" collapsed="false">
      <c r="A8" s="14" t="s">
        <v>48</v>
      </c>
      <c r="B8" s="19" t="n">
        <f aca="false">E30</f>
        <v>779553</v>
      </c>
      <c r="C8" s="16"/>
    </row>
    <row r="9" customFormat="false" ht="15" hidden="false" customHeight="false" outlineLevel="0" collapsed="false">
      <c r="A9" s="14" t="s">
        <v>49</v>
      </c>
      <c r="B9" s="20" t="n">
        <v>535627</v>
      </c>
      <c r="C9" s="16" t="s">
        <v>50</v>
      </c>
    </row>
    <row r="10" customFormat="false" ht="15" hidden="false" customHeight="false" outlineLevel="0" collapsed="false">
      <c r="A10" s="14" t="s">
        <v>51</v>
      </c>
      <c r="B10" s="21" t="n">
        <f aca="false">F30</f>
        <v>1917887</v>
      </c>
      <c r="C10" s="16" t="s">
        <v>52</v>
      </c>
    </row>
    <row r="11" customFormat="false" ht="15" hidden="false" customHeight="false" outlineLevel="0" collapsed="false">
      <c r="A11" s="14" t="s">
        <v>9</v>
      </c>
      <c r="B11" s="20" t="n">
        <v>129915</v>
      </c>
      <c r="C11" s="16" t="s">
        <v>53</v>
      </c>
    </row>
    <row r="12" customFormat="false" ht="15" hidden="false" customHeight="false" outlineLevel="0" collapsed="false">
      <c r="A12" s="14" t="s">
        <v>54</v>
      </c>
      <c r="B12" s="20" t="n">
        <v>17188</v>
      </c>
      <c r="C12" s="16" t="s">
        <v>55</v>
      </c>
    </row>
    <row r="13" customFormat="false" ht="15" hidden="false" customHeight="false" outlineLevel="0" collapsed="false">
      <c r="A13" s="14" t="s">
        <v>56</v>
      </c>
      <c r="B13" s="20" t="n">
        <v>958</v>
      </c>
      <c r="C13" s="16"/>
    </row>
    <row r="14" customFormat="false" ht="15" hidden="false" customHeight="false" outlineLevel="0" collapsed="false">
      <c r="A14" s="14" t="s">
        <v>57</v>
      </c>
      <c r="B14" s="20" t="n">
        <v>93</v>
      </c>
      <c r="C14" s="16"/>
    </row>
    <row r="15" customFormat="false" ht="15" hidden="false" customHeight="false" outlineLevel="0" collapsed="false">
      <c r="A15" s="14" t="s">
        <v>58</v>
      </c>
      <c r="B15" s="20" t="n">
        <v>6</v>
      </c>
      <c r="C15" s="16"/>
    </row>
    <row r="16" customFormat="false" ht="15" hidden="false" customHeight="false" outlineLevel="0" collapsed="false">
      <c r="A16" s="14" t="s">
        <v>59</v>
      </c>
      <c r="B16" s="22" t="n">
        <f aca="false">B5/B10</f>
        <v>704.003911523463</v>
      </c>
      <c r="C16" s="16"/>
    </row>
    <row r="17" customFormat="false" ht="15" hidden="false" customHeight="false" outlineLevel="0" collapsed="false">
      <c r="A17" s="14" t="s">
        <v>6</v>
      </c>
      <c r="B17" s="15" t="n">
        <f aca="false">B5/B8</f>
        <v>1732.01815637936</v>
      </c>
      <c r="C17" s="16" t="s">
        <v>60</v>
      </c>
    </row>
    <row r="18" customFormat="false" ht="15" hidden="false" customHeight="false" outlineLevel="0" collapsed="false">
      <c r="A18" s="14" t="s">
        <v>61</v>
      </c>
      <c r="B18" s="15" t="n">
        <f aca="false">B5/B9</f>
        <v>2520.7839594718</v>
      </c>
      <c r="C18" s="16" t="s">
        <v>62</v>
      </c>
    </row>
    <row r="19" customFormat="false" ht="15" hidden="false" customHeight="false" outlineLevel="0" collapsed="false">
      <c r="A19" s="14" t="s">
        <v>63</v>
      </c>
      <c r="B19" s="18" t="n">
        <v>237.91</v>
      </c>
      <c r="C19" s="16"/>
    </row>
    <row r="20" customFormat="false" ht="15" hidden="false" customHeight="false" outlineLevel="0" collapsed="false">
      <c r="A20" s="14" t="s">
        <v>64</v>
      </c>
      <c r="B20" s="18" t="n">
        <v>465.79</v>
      </c>
      <c r="C20" s="16"/>
    </row>
    <row r="21" customFormat="false" ht="15" hidden="false" customHeight="false" outlineLevel="0" collapsed="false">
      <c r="A21" s="14" t="s">
        <v>8</v>
      </c>
      <c r="B21" s="17" t="n">
        <f aca="false">B6/30</f>
        <v>4.50066649953333</v>
      </c>
      <c r="C21" s="16" t="s">
        <v>65</v>
      </c>
    </row>
    <row r="22" customFormat="false" ht="15" hidden="false" customHeight="false" outlineLevel="0" collapsed="false">
      <c r="A22" s="14" t="s">
        <v>66</v>
      </c>
      <c r="B22" s="15" t="n">
        <f aca="false">B5/B11</f>
        <v>10392.9488500943</v>
      </c>
      <c r="C22" s="16" t="s">
        <v>67</v>
      </c>
    </row>
    <row r="23" customFormat="false" ht="15" hidden="false" customHeight="false" outlineLevel="0" collapsed="false">
      <c r="A23" s="14" t="s">
        <v>68</v>
      </c>
      <c r="B23" s="23" t="n">
        <f aca="false">B10/B8</f>
        <v>2.4602393936012</v>
      </c>
      <c r="C23" s="16" t="s">
        <v>69</v>
      </c>
    </row>
    <row r="26" customFormat="false" ht="15" hidden="false" customHeight="false" outlineLevel="0" collapsed="false">
      <c r="A26" s="3" t="s">
        <v>70</v>
      </c>
    </row>
    <row r="27" customFormat="false" ht="31.5" hidden="false" customHeight="true" outlineLevel="0" collapsed="false">
      <c r="A27" s="24" t="s">
        <v>71</v>
      </c>
      <c r="B27" s="24" t="s">
        <v>72</v>
      </c>
      <c r="C27" s="24" t="s">
        <v>73</v>
      </c>
      <c r="D27" s="24" t="s">
        <v>74</v>
      </c>
      <c r="E27" s="24" t="s">
        <v>75</v>
      </c>
      <c r="F27" s="24" t="s">
        <v>76</v>
      </c>
      <c r="G27" s="24" t="s">
        <v>77</v>
      </c>
    </row>
    <row r="28" customFormat="false" ht="15" hidden="false" customHeight="false" outlineLevel="0" collapsed="false">
      <c r="A28" s="25" t="s">
        <v>78</v>
      </c>
      <c r="B28" s="18" t="n">
        <v>952168070.57</v>
      </c>
      <c r="C28" s="17" t="n">
        <f aca="false">B28/10000000</f>
        <v>95.216807057</v>
      </c>
      <c r="D28" s="26" t="n">
        <f aca="false">B28/B30</f>
        <v>0.705205233246179</v>
      </c>
      <c r="E28" s="20" t="n">
        <v>535424</v>
      </c>
      <c r="F28" s="20" t="n">
        <v>1323698</v>
      </c>
      <c r="G28" s="22" t="n">
        <f aca="false">B28/E28</f>
        <v>1778.34402374567</v>
      </c>
    </row>
    <row r="29" customFormat="false" ht="15" hidden="false" customHeight="false" outlineLevel="0" collapsed="false">
      <c r="A29" s="25" t="s">
        <v>79</v>
      </c>
      <c r="B29" s="18" t="n">
        <v>398031879.29</v>
      </c>
      <c r="C29" s="17" t="n">
        <f aca="false">B29/10000000</f>
        <v>39.803187929</v>
      </c>
      <c r="D29" s="26" t="n">
        <f aca="false">B29/B30</f>
        <v>0.294794766753821</v>
      </c>
      <c r="E29" s="20" t="n">
        <v>244129</v>
      </c>
      <c r="F29" s="20" t="n">
        <v>594189</v>
      </c>
      <c r="G29" s="22" t="n">
        <f aca="false">B29/E29</f>
        <v>1630.41621147017</v>
      </c>
    </row>
    <row r="30" customFormat="false" ht="15" hidden="false" customHeight="false" outlineLevel="0" collapsed="false">
      <c r="A30" s="27" t="s">
        <v>80</v>
      </c>
      <c r="B30" s="28" t="n">
        <f aca="false">SUM(B28:B29)</f>
        <v>1350199949.86</v>
      </c>
      <c r="C30" s="29" t="n">
        <f aca="false">SUM(C28:C29)</f>
        <v>135.019994986</v>
      </c>
      <c r="D30" s="30" t="n">
        <f aca="false">SUM(D28:D29)</f>
        <v>1</v>
      </c>
      <c r="E30" s="31" t="n">
        <f aca="false">SUM(E28:E29)</f>
        <v>779553</v>
      </c>
      <c r="F30" s="31" t="n">
        <f aca="false">SUM(F28:F29)</f>
        <v>1917887</v>
      </c>
      <c r="G30" s="28" t="n">
        <f aca="false">B30/E30</f>
        <v>1732.01815637936</v>
      </c>
    </row>
    <row r="33" customFormat="false" ht="15" hidden="false" customHeight="false" outlineLevel="0" collapsed="false">
      <c r="A33" s="3" t="s">
        <v>81</v>
      </c>
    </row>
    <row r="34" customFormat="false" ht="31.5" hidden="false" customHeight="true" outlineLevel="0" collapsed="false">
      <c r="A34" s="24" t="s">
        <v>82</v>
      </c>
      <c r="B34" s="24" t="s">
        <v>72</v>
      </c>
      <c r="C34" s="24" t="s">
        <v>73</v>
      </c>
      <c r="D34" s="24" t="s">
        <v>83</v>
      </c>
      <c r="E34" s="24" t="s">
        <v>75</v>
      </c>
      <c r="F34" s="24" t="s">
        <v>76</v>
      </c>
      <c r="G34" s="24" t="s">
        <v>77</v>
      </c>
      <c r="H34" s="24" t="s">
        <v>84</v>
      </c>
    </row>
    <row r="35" customFormat="false" ht="15" hidden="false" customHeight="false" outlineLevel="0" collapsed="false">
      <c r="A35" s="25" t="s">
        <v>85</v>
      </c>
      <c r="B35" s="18" t="n">
        <v>613232351.65</v>
      </c>
      <c r="C35" s="17" t="n">
        <f aca="false">B35/10000000</f>
        <v>61.323235165</v>
      </c>
      <c r="D35" s="26" t="n">
        <f aca="false">B35/B40</f>
        <v>0.454178917510392</v>
      </c>
      <c r="E35" s="20" t="n">
        <v>488545</v>
      </c>
      <c r="F35" s="20" t="n">
        <v>1232214</v>
      </c>
      <c r="G35" s="22" t="n">
        <f aca="false">B35/E35</f>
        <v>1255.22183555251</v>
      </c>
      <c r="H35" s="26" t="n">
        <f aca="false">E35/E40</f>
        <v>0.625700406123487</v>
      </c>
    </row>
    <row r="36" customFormat="false" ht="15" hidden="false" customHeight="false" outlineLevel="0" collapsed="false">
      <c r="A36" s="25" t="s">
        <v>86</v>
      </c>
      <c r="B36" s="18" t="n">
        <v>223568271.15</v>
      </c>
      <c r="C36" s="17" t="n">
        <f aca="false">B36/10000000</f>
        <v>22.356827115</v>
      </c>
      <c r="D36" s="26" t="n">
        <f aca="false">B36/B40</f>
        <v>0.16558160231985</v>
      </c>
      <c r="E36" s="20" t="n">
        <v>231478</v>
      </c>
      <c r="F36" s="20" t="n">
        <v>572856</v>
      </c>
      <c r="G36" s="22" t="n">
        <f aca="false">B36/E36</f>
        <v>965.82945744304</v>
      </c>
      <c r="H36" s="26" t="n">
        <f aca="false">E36/E40</f>
        <v>0.296463741535892</v>
      </c>
    </row>
    <row r="37" customFormat="false" ht="15" hidden="false" customHeight="false" outlineLevel="0" collapsed="false">
      <c r="A37" s="25" t="s">
        <v>87</v>
      </c>
      <c r="B37" s="18" t="n">
        <v>177514798.02</v>
      </c>
      <c r="C37" s="17" t="n">
        <f aca="false">B37/10000000</f>
        <v>17.751479802</v>
      </c>
      <c r="D37" s="26" t="n">
        <f aca="false">B37/B40</f>
        <v>0.131472970383687</v>
      </c>
      <c r="E37" s="20" t="n">
        <v>22163</v>
      </c>
      <c r="F37" s="20" t="n">
        <v>49605</v>
      </c>
      <c r="G37" s="22" t="n">
        <f aca="false">B37/E37</f>
        <v>8009.51125840365</v>
      </c>
      <c r="H37" s="26" t="n">
        <f aca="false">E37/E40</f>
        <v>0.0283850988156973</v>
      </c>
    </row>
    <row r="38" customFormat="false" ht="15" hidden="false" customHeight="false" outlineLevel="0" collapsed="false">
      <c r="A38" s="25" t="s">
        <v>88</v>
      </c>
      <c r="B38" s="18" t="n">
        <v>174463608.14</v>
      </c>
      <c r="C38" s="17" t="n">
        <f aca="false">B38/10000000</f>
        <v>17.446360814</v>
      </c>
      <c r="D38" s="26" t="n">
        <f aca="false">B38/B40</f>
        <v>0.129213164433971</v>
      </c>
      <c r="E38" s="20" t="n">
        <v>13895</v>
      </c>
      <c r="F38" s="20" t="n">
        <v>21333</v>
      </c>
      <c r="G38" s="22" t="n">
        <f aca="false">B38/E38</f>
        <v>12555.8552097877</v>
      </c>
      <c r="H38" s="26" t="n">
        <f aca="false">E38/E40</f>
        <v>0.0177959187855486</v>
      </c>
    </row>
    <row r="39" customFormat="false" ht="15" hidden="false" customHeight="false" outlineLevel="0" collapsed="false">
      <c r="A39" s="25" t="s">
        <v>89</v>
      </c>
      <c r="B39" s="18" t="n">
        <v>161420920.9</v>
      </c>
      <c r="C39" s="17" t="n">
        <f aca="false">B39/10000000</f>
        <v>16.14209209</v>
      </c>
      <c r="D39" s="26" t="n">
        <f aca="false">B39/B40</f>
        <v>0.1195533453521</v>
      </c>
      <c r="E39" s="20" t="n">
        <v>24716</v>
      </c>
      <c r="F39" s="20" t="n">
        <v>41879</v>
      </c>
      <c r="G39" s="22" t="n">
        <f aca="false">B39/E39</f>
        <v>6531.02932917948</v>
      </c>
      <c r="H39" s="26" t="n">
        <f aca="false">E39/E40</f>
        <v>0.0316548347393753</v>
      </c>
    </row>
    <row r="40" customFormat="false" ht="15" hidden="false" customHeight="false" outlineLevel="0" collapsed="false">
      <c r="A40" s="27" t="s">
        <v>80</v>
      </c>
      <c r="B40" s="28" t="n">
        <f aca="false">SUM(B35:B39)</f>
        <v>1350199949.86</v>
      </c>
      <c r="C40" s="29" t="n">
        <f aca="false">SUM(C35:C39)</f>
        <v>135.019994986</v>
      </c>
      <c r="D40" s="30" t="n">
        <f aca="false">SUM(D35:D39)</f>
        <v>1</v>
      </c>
      <c r="E40" s="31" t="n">
        <f aca="false">SUM(E35:E39)</f>
        <v>780797</v>
      </c>
      <c r="F40" s="31" t="n">
        <f aca="false">SUM(F35:F39)</f>
        <v>1917887</v>
      </c>
      <c r="G40" s="28" t="n">
        <f aca="false">B40/E40</f>
        <v>1729.25862914432</v>
      </c>
      <c r="H40" s="30" t="n">
        <f aca="false">SUM(H35:H39)</f>
        <v>1</v>
      </c>
    </row>
    <row r="41" customFormat="false" ht="15" hidden="false" customHeight="false" outlineLevel="0" collapsed="false">
      <c r="A41" s="12" t="s">
        <v>90</v>
      </c>
    </row>
    <row r="43" customFormat="false" ht="15" hidden="false" customHeight="false" outlineLevel="0" collapsed="false">
      <c r="A43" s="3" t="s">
        <v>91</v>
      </c>
    </row>
    <row r="44" customFormat="false" ht="60" hidden="false" customHeight="true" outlineLevel="0" collapsed="false">
      <c r="A44" s="8" t="s">
        <v>92</v>
      </c>
      <c r="B44" s="8"/>
      <c r="C44" s="8"/>
      <c r="D44" s="8"/>
      <c r="E44" s="8"/>
      <c r="F44" s="8"/>
      <c r="G44" s="8"/>
      <c r="H44" s="8"/>
    </row>
  </sheetData>
  <mergeCells count="1">
    <mergeCell ref="A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8"/>
  </cols>
  <sheetData>
    <row r="1" customFormat="false" ht="19.7" hidden="false" customHeight="false" outlineLevel="0" collapsed="false">
      <c r="A1" s="11" t="s">
        <v>93</v>
      </c>
    </row>
    <row r="2" customFormat="false" ht="15" hidden="false" customHeight="false" outlineLevel="0" collapsed="false">
      <c r="A2" s="12" t="s">
        <v>94</v>
      </c>
    </row>
    <row r="3" customFormat="false" ht="15" hidden="false" customHeight="false" outlineLevel="0" collapsed="false">
      <c r="A3" s="3" t="s">
        <v>95</v>
      </c>
    </row>
    <row r="4" customFormat="false" ht="31.5" hidden="false" customHeight="true" outlineLevel="0" collapsed="false">
      <c r="A4" s="24" t="s">
        <v>96</v>
      </c>
      <c r="B4" s="24" t="s">
        <v>72</v>
      </c>
      <c r="C4" s="24" t="s">
        <v>73</v>
      </c>
      <c r="D4" s="24" t="s">
        <v>74</v>
      </c>
      <c r="E4" s="24" t="s">
        <v>75</v>
      </c>
      <c r="F4" s="24" t="s">
        <v>77</v>
      </c>
      <c r="G4" s="24" t="s">
        <v>97</v>
      </c>
      <c r="H4" s="24" t="s">
        <v>98</v>
      </c>
      <c r="I4" s="24" t="s">
        <v>57</v>
      </c>
      <c r="J4" s="24" t="s">
        <v>99</v>
      </c>
      <c r="K4" s="24" t="s">
        <v>100</v>
      </c>
      <c r="L4" s="24" t="s">
        <v>101</v>
      </c>
    </row>
    <row r="5" customFormat="false" ht="15" hidden="false" customHeight="false" outlineLevel="0" collapsed="false">
      <c r="A5" s="25" t="s">
        <v>102</v>
      </c>
      <c r="B5" s="18" t="n">
        <v>601183563.75</v>
      </c>
      <c r="C5" s="17" t="n">
        <f aca="false">B5/10000000</f>
        <v>60.118356375</v>
      </c>
      <c r="D5" s="26" t="n">
        <f aca="false">B5/B11</f>
        <v>0.445255211135459</v>
      </c>
      <c r="E5" s="20" t="n">
        <v>320349</v>
      </c>
      <c r="F5" s="22" t="n">
        <f aca="false">B5/E5</f>
        <v>1876.65191322589</v>
      </c>
      <c r="G5" s="20" t="n">
        <v>55188</v>
      </c>
      <c r="H5" s="20" t="n">
        <v>9583</v>
      </c>
      <c r="I5" s="20" t="n">
        <v>13</v>
      </c>
      <c r="J5" s="23" t="n">
        <f aca="false">B5/H5/100000</f>
        <v>0.627343800219138</v>
      </c>
      <c r="K5" s="22" t="n">
        <f aca="false">B5/G5</f>
        <v>10893.3747146119</v>
      </c>
      <c r="L5" s="32" t="n">
        <f aca="false">RANK(B5,B$5:B$10)</f>
        <v>1</v>
      </c>
    </row>
    <row r="6" customFormat="false" ht="15" hidden="false" customHeight="false" outlineLevel="0" collapsed="false">
      <c r="A6" s="25" t="s">
        <v>103</v>
      </c>
      <c r="B6" s="18" t="n">
        <v>291946735.48</v>
      </c>
      <c r="C6" s="17" t="n">
        <f aca="false">B6/10000000</f>
        <v>29.194673548</v>
      </c>
      <c r="D6" s="26" t="n">
        <f aca="false">B6/B11</f>
        <v>0.216224815820999</v>
      </c>
      <c r="E6" s="20" t="n">
        <v>202464</v>
      </c>
      <c r="F6" s="22" t="n">
        <f aca="false">B6/E6</f>
        <v>1441.9686239529</v>
      </c>
      <c r="G6" s="20" t="n">
        <v>45300</v>
      </c>
      <c r="H6" s="20" t="n">
        <v>4815</v>
      </c>
      <c r="I6" s="20" t="n">
        <v>14</v>
      </c>
      <c r="J6" s="23" t="n">
        <f aca="false">B6/H6/100000</f>
        <v>0.606327591858775</v>
      </c>
      <c r="K6" s="22" t="n">
        <f aca="false">B6/G6</f>
        <v>6444.74029757174</v>
      </c>
      <c r="L6" s="32" t="n">
        <f aca="false">RANK(B6,B$5:B$10)</f>
        <v>2</v>
      </c>
    </row>
    <row r="7" customFormat="false" ht="15" hidden="false" customHeight="false" outlineLevel="0" collapsed="false">
      <c r="A7" s="25" t="s">
        <v>104</v>
      </c>
      <c r="B7" s="18" t="n">
        <v>243068249.28</v>
      </c>
      <c r="C7" s="17" t="n">
        <f aca="false">B7/10000000</f>
        <v>24.306824928</v>
      </c>
      <c r="D7" s="26" t="n">
        <f aca="false">B7/B11</f>
        <v>0.180023891502294</v>
      </c>
      <c r="E7" s="20" t="n">
        <v>146274</v>
      </c>
      <c r="F7" s="22" t="n">
        <f aca="false">B7/E7</f>
        <v>1661.73242872964</v>
      </c>
      <c r="G7" s="20" t="n">
        <v>22239</v>
      </c>
      <c r="H7" s="20" t="n">
        <v>2262</v>
      </c>
      <c r="I7" s="20" t="n">
        <v>24</v>
      </c>
      <c r="J7" s="23" t="n">
        <f aca="false">B7/H7/100000</f>
        <v>1.07457227798409</v>
      </c>
      <c r="K7" s="22" t="n">
        <f aca="false">B7/G7</f>
        <v>10929.8192041009</v>
      </c>
      <c r="L7" s="32" t="n">
        <f aca="false">RANK(B7,B$5:B$10)</f>
        <v>3</v>
      </c>
    </row>
    <row r="8" customFormat="false" ht="15" hidden="false" customHeight="false" outlineLevel="0" collapsed="false">
      <c r="A8" s="25" t="s">
        <v>105</v>
      </c>
      <c r="B8" s="18" t="n">
        <v>171073079</v>
      </c>
      <c r="C8" s="17" t="n">
        <f aca="false">B8/10000000</f>
        <v>17.1073079</v>
      </c>
      <c r="D8" s="26" t="n">
        <f aca="false">B8/B11</f>
        <v>0.126702033293468</v>
      </c>
      <c r="E8" s="20" t="n">
        <v>94416</v>
      </c>
      <c r="F8" s="22" t="n">
        <f aca="false">B8/E8</f>
        <v>1811.90771691239</v>
      </c>
      <c r="G8" s="20" t="n">
        <v>4165</v>
      </c>
      <c r="H8" s="20" t="n">
        <v>172</v>
      </c>
      <c r="I8" s="20" t="n">
        <v>22</v>
      </c>
      <c r="J8" s="23" t="n">
        <f aca="false">B8/H8/100000</f>
        <v>9.94610924418605</v>
      </c>
      <c r="K8" s="22" t="n">
        <f aca="false">B8/G8</f>
        <v>41073.968547419</v>
      </c>
      <c r="L8" s="32" t="n">
        <f aca="false">RANK(B8,B$5:B$10)</f>
        <v>4</v>
      </c>
    </row>
    <row r="9" customFormat="false" ht="15" hidden="false" customHeight="false" outlineLevel="0" collapsed="false">
      <c r="A9" s="25" t="s">
        <v>106</v>
      </c>
      <c r="B9" s="18" t="n">
        <v>42810915.44</v>
      </c>
      <c r="C9" s="17" t="n">
        <f aca="false">B9/10000000</f>
        <v>4.281091544</v>
      </c>
      <c r="D9" s="26" t="n">
        <f aca="false">B9/B11</f>
        <v>0.0317070930453219</v>
      </c>
      <c r="E9" s="20" t="n">
        <v>15974</v>
      </c>
      <c r="F9" s="22" t="n">
        <f aca="false">B9/E9</f>
        <v>2680.03727557281</v>
      </c>
      <c r="G9" s="20" t="n">
        <v>2947</v>
      </c>
      <c r="H9" s="20" t="n">
        <v>326</v>
      </c>
      <c r="I9" s="20" t="n">
        <v>19</v>
      </c>
      <c r="J9" s="23" t="n">
        <f aca="false">B9/H9/100000</f>
        <v>1.31321826503067</v>
      </c>
      <c r="K9" s="22" t="n">
        <f aca="false">B9/G9</f>
        <v>14526.9478927723</v>
      </c>
      <c r="L9" s="32" t="n">
        <f aca="false">RANK(B9,B$5:B$10)</f>
        <v>5</v>
      </c>
    </row>
    <row r="10" customFormat="false" ht="15" hidden="false" customHeight="false" outlineLevel="0" collapsed="false">
      <c r="A10" s="25" t="s">
        <v>107</v>
      </c>
      <c r="B10" s="18" t="n">
        <v>117406.91</v>
      </c>
      <c r="C10" s="17" t="n">
        <f aca="false">B10/10000000</f>
        <v>0.011740691</v>
      </c>
      <c r="D10" s="26" t="n">
        <f aca="false">B10/B11</f>
        <v>8.6955202458846E-005</v>
      </c>
      <c r="E10" s="20" t="n">
        <v>76</v>
      </c>
      <c r="F10" s="22" t="n">
        <f aca="false">B10/E10</f>
        <v>1544.82776315789</v>
      </c>
      <c r="G10" s="20" t="n">
        <v>76</v>
      </c>
      <c r="H10" s="20" t="n">
        <v>30</v>
      </c>
      <c r="I10" s="20" t="n">
        <v>1</v>
      </c>
      <c r="J10" s="23" t="n">
        <f aca="false">B10/H10/100000</f>
        <v>0.0391356366666667</v>
      </c>
      <c r="K10" s="22" t="n">
        <f aca="false">B10/G10</f>
        <v>1544.82776315789</v>
      </c>
      <c r="L10" s="32" t="n">
        <f aca="false">RANK(B10,B$5:B$10)</f>
        <v>6</v>
      </c>
    </row>
    <row r="11" customFormat="false" ht="15" hidden="false" customHeight="false" outlineLevel="0" collapsed="false">
      <c r="A11" s="27" t="s">
        <v>80</v>
      </c>
      <c r="B11" s="28" t="n">
        <f aca="false">SUM(B5:B10)</f>
        <v>1350199949.86</v>
      </c>
      <c r="C11" s="29" t="n">
        <f aca="false">SUM(C5:C10)</f>
        <v>135.019994986</v>
      </c>
      <c r="D11" s="30" t="n">
        <f aca="false">SUM(D5:D10)</f>
        <v>1</v>
      </c>
      <c r="E11" s="31" t="n">
        <f aca="false">SUM(E5:E10)</f>
        <v>779553</v>
      </c>
      <c r="F11" s="28" t="n">
        <f aca="false">B11/E11</f>
        <v>1732.01815637936</v>
      </c>
      <c r="G11" s="31" t="n">
        <f aca="false">SUM(G5:G10)</f>
        <v>129915</v>
      </c>
      <c r="H11" s="31" t="n">
        <f aca="false">SUM(H5:H10)</f>
        <v>17188</v>
      </c>
      <c r="I11" s="31" t="n">
        <f aca="false">SUM(I5:I10)</f>
        <v>93</v>
      </c>
      <c r="J11" s="33" t="n">
        <f aca="false">B11/H11/100000</f>
        <v>0.785548027612288</v>
      </c>
      <c r="K11" s="28" t="n">
        <f aca="false">B11/G11</f>
        <v>10392.9488500943</v>
      </c>
      <c r="L11" s="27"/>
    </row>
    <row r="12" customFormat="false" ht="15" hidden="false" customHeight="false" outlineLevel="0" collapsed="false">
      <c r="A12" s="12" t="s">
        <v>108</v>
      </c>
    </row>
    <row r="14" customFormat="false" ht="15" hidden="false" customHeight="false" outlineLevel="0" collapsed="false">
      <c r="A14" s="3" t="s">
        <v>109</v>
      </c>
    </row>
    <row r="15" customFormat="false" ht="31.5" hidden="false" customHeight="true" outlineLevel="0" collapsed="false">
      <c r="A15" s="24" t="s">
        <v>96</v>
      </c>
      <c r="B15" s="24" t="s">
        <v>110</v>
      </c>
      <c r="C15" s="24" t="s">
        <v>111</v>
      </c>
      <c r="D15" s="24" t="s">
        <v>112</v>
      </c>
      <c r="E15" s="24" t="s">
        <v>113</v>
      </c>
    </row>
    <row r="16" customFormat="false" ht="15" hidden="false" customHeight="false" outlineLevel="0" collapsed="false">
      <c r="A16" s="25" t="s">
        <v>102</v>
      </c>
      <c r="B16" s="18" t="n">
        <v>463816596.82</v>
      </c>
      <c r="C16" s="18" t="n">
        <v>137366966.93</v>
      </c>
      <c r="D16" s="22" t="n">
        <f aca="false">B16+C16</f>
        <v>601183563.75</v>
      </c>
      <c r="E16" s="26" t="n">
        <f aca="false">C16/D16</f>
        <v>0.228494215765226</v>
      </c>
    </row>
    <row r="17" customFormat="false" ht="15" hidden="false" customHeight="false" outlineLevel="0" collapsed="false">
      <c r="A17" s="25" t="s">
        <v>103</v>
      </c>
      <c r="B17" s="18" t="n">
        <v>158817119.16</v>
      </c>
      <c r="C17" s="18" t="n">
        <v>133129616.32</v>
      </c>
      <c r="D17" s="22" t="n">
        <f aca="false">B17+C17</f>
        <v>291946735.48</v>
      </c>
      <c r="E17" s="26" t="n">
        <f aca="false">C17/D17</f>
        <v>0.456006524961195</v>
      </c>
    </row>
    <row r="18" customFormat="false" ht="15" hidden="false" customHeight="false" outlineLevel="0" collapsed="false">
      <c r="A18" s="25" t="s">
        <v>104</v>
      </c>
      <c r="B18" s="18" t="n">
        <v>174889701.53</v>
      </c>
      <c r="C18" s="18" t="n">
        <v>68178547.75</v>
      </c>
      <c r="D18" s="22" t="n">
        <f aca="false">B18+C18</f>
        <v>243068249.28</v>
      </c>
      <c r="E18" s="26" t="n">
        <f aca="false">C18/D18</f>
        <v>0.28049137619559</v>
      </c>
    </row>
    <row r="19" customFormat="false" ht="15" hidden="false" customHeight="false" outlineLevel="0" collapsed="false">
      <c r="A19" s="25" t="s">
        <v>105</v>
      </c>
      <c r="B19" s="18" t="n">
        <v>126135755.74</v>
      </c>
      <c r="C19" s="18" t="n">
        <v>44937323.26</v>
      </c>
      <c r="D19" s="22" t="n">
        <f aca="false">B19+C19</f>
        <v>171073079</v>
      </c>
      <c r="E19" s="26" t="n">
        <f aca="false">C19/D19</f>
        <v>0.262679104875408</v>
      </c>
    </row>
    <row r="20" customFormat="false" ht="15" hidden="false" customHeight="false" outlineLevel="0" collapsed="false">
      <c r="A20" s="25" t="s">
        <v>106</v>
      </c>
      <c r="B20" s="18" t="n">
        <v>28508897.32</v>
      </c>
      <c r="C20" s="18" t="n">
        <v>14302018.12</v>
      </c>
      <c r="D20" s="22" t="n">
        <f aca="false">B20+C20</f>
        <v>42810915.44</v>
      </c>
      <c r="E20" s="26" t="n">
        <f aca="false">C20/D20</f>
        <v>0.334074101733341</v>
      </c>
    </row>
    <row r="21" customFormat="false" ht="15" hidden="false" customHeight="false" outlineLevel="0" collapsed="false">
      <c r="A21" s="25" t="s">
        <v>107</v>
      </c>
      <c r="B21" s="18" t="n">
        <v>0</v>
      </c>
      <c r="C21" s="18" t="n">
        <v>117406.91</v>
      </c>
      <c r="D21" s="22" t="n">
        <f aca="false">B21+C21</f>
        <v>117406.91</v>
      </c>
      <c r="E21" s="26" t="n">
        <f aca="false">C21/D21</f>
        <v>1</v>
      </c>
    </row>
    <row r="22" customFormat="false" ht="15" hidden="false" customHeight="false" outlineLevel="0" collapsed="false">
      <c r="A22" s="27" t="s">
        <v>80</v>
      </c>
      <c r="B22" s="28" t="n">
        <f aca="false">SUM(B16:B21)</f>
        <v>952168070.57</v>
      </c>
      <c r="C22" s="28" t="n">
        <f aca="false">SUM(C16:C21)</f>
        <v>398031879.29</v>
      </c>
      <c r="D22" s="28" t="n">
        <f aca="false">SUM(D16:D21)</f>
        <v>1350199949.86</v>
      </c>
      <c r="E22" s="30" t="n">
        <f aca="false">C22/D22</f>
        <v>0.294794766753821</v>
      </c>
    </row>
    <row r="24" customFormat="false" ht="15" hidden="false" customHeight="false" outlineLevel="0" collapsed="false">
      <c r="A24" s="3" t="s">
        <v>114</v>
      </c>
    </row>
    <row r="25" customFormat="false" ht="31.5" hidden="false" customHeight="true" outlineLevel="0" collapsed="false">
      <c r="A25" s="24" t="s">
        <v>101</v>
      </c>
      <c r="B25" s="24" t="s">
        <v>115</v>
      </c>
      <c r="C25" s="24" t="s">
        <v>96</v>
      </c>
      <c r="D25" s="24" t="s">
        <v>72</v>
      </c>
      <c r="E25" s="24" t="s">
        <v>73</v>
      </c>
      <c r="F25" s="24" t="s">
        <v>116</v>
      </c>
      <c r="G25" s="24" t="s">
        <v>117</v>
      </c>
      <c r="H25" s="24" t="s">
        <v>75</v>
      </c>
      <c r="I25" s="24" t="s">
        <v>77</v>
      </c>
      <c r="J25" s="24" t="s">
        <v>97</v>
      </c>
      <c r="K25" s="24" t="s">
        <v>98</v>
      </c>
    </row>
    <row r="26" customFormat="false" ht="15" hidden="false" customHeight="false" outlineLevel="0" collapsed="false">
      <c r="A26" s="32" t="n">
        <v>1</v>
      </c>
      <c r="B26" s="25" t="s">
        <v>118</v>
      </c>
      <c r="C26" s="25" t="s">
        <v>102</v>
      </c>
      <c r="D26" s="18" t="n">
        <v>124601736.8</v>
      </c>
      <c r="E26" s="17" t="n">
        <f aca="false">D26/10000000</f>
        <v>12.46017368</v>
      </c>
      <c r="F26" s="26" t="n">
        <f aca="false">D26/$B$11</f>
        <v>0.0922839145512631</v>
      </c>
      <c r="G26" s="26" t="n">
        <f aca="false">SUM(F$26:F26)</f>
        <v>0.0922839145512631</v>
      </c>
      <c r="H26" s="20" t="n">
        <v>32641</v>
      </c>
      <c r="I26" s="22" t="n">
        <f aca="false">D26/H26</f>
        <v>3817.33821880457</v>
      </c>
      <c r="J26" s="20" t="n">
        <v>9433</v>
      </c>
      <c r="K26" s="20" t="n">
        <v>1870</v>
      </c>
    </row>
    <row r="27" customFormat="false" ht="15" hidden="false" customHeight="false" outlineLevel="0" collapsed="false">
      <c r="A27" s="32" t="n">
        <v>2</v>
      </c>
      <c r="B27" s="25" t="s">
        <v>119</v>
      </c>
      <c r="C27" s="25" t="s">
        <v>105</v>
      </c>
      <c r="D27" s="18" t="n">
        <v>102591229.86</v>
      </c>
      <c r="E27" s="17" t="n">
        <f aca="false">D27/10000000</f>
        <v>10.259122986</v>
      </c>
      <c r="F27" s="26" t="n">
        <f aca="false">D27/$B$11</f>
        <v>0.0759822497924382</v>
      </c>
      <c r="G27" s="26" t="n">
        <f aca="false">SUM(F$26:F27)</f>
        <v>0.168266164343701</v>
      </c>
      <c r="H27" s="20" t="n">
        <v>26873</v>
      </c>
      <c r="I27" s="22" t="n">
        <f aca="false">D27/H27</f>
        <v>3817.63219067466</v>
      </c>
      <c r="J27" s="20" t="n">
        <v>1609</v>
      </c>
      <c r="K27" s="20" t="n">
        <v>85</v>
      </c>
    </row>
    <row r="28" customFormat="false" ht="15" hidden="false" customHeight="false" outlineLevel="0" collapsed="false">
      <c r="A28" s="32" t="n">
        <v>3</v>
      </c>
      <c r="B28" s="25" t="s">
        <v>120</v>
      </c>
      <c r="C28" s="25" t="s">
        <v>102</v>
      </c>
      <c r="D28" s="18" t="n">
        <v>99290262.87</v>
      </c>
      <c r="E28" s="17" t="n">
        <f aca="false">D28/10000000</f>
        <v>9.929026287</v>
      </c>
      <c r="F28" s="26" t="n">
        <f aca="false">D28/$B$11</f>
        <v>0.0735374511606931</v>
      </c>
      <c r="G28" s="26" t="n">
        <f aca="false">SUM(F$26:F28)</f>
        <v>0.241803615504394</v>
      </c>
      <c r="H28" s="20" t="n">
        <v>26555</v>
      </c>
      <c r="I28" s="22" t="n">
        <f aca="false">D28/H28</f>
        <v>3739.04209640369</v>
      </c>
      <c r="J28" s="20" t="n">
        <v>7909</v>
      </c>
      <c r="K28" s="20" t="n">
        <v>1765</v>
      </c>
    </row>
    <row r="29" customFormat="false" ht="15" hidden="false" customHeight="false" outlineLevel="0" collapsed="false">
      <c r="A29" s="32" t="n">
        <v>4</v>
      </c>
      <c r="B29" s="25" t="s">
        <v>121</v>
      </c>
      <c r="C29" s="25" t="s">
        <v>102</v>
      </c>
      <c r="D29" s="18" t="n">
        <v>89125558.04</v>
      </c>
      <c r="E29" s="17" t="n">
        <f aca="false">D29/10000000</f>
        <v>8.912555804</v>
      </c>
      <c r="F29" s="26" t="n">
        <f aca="false">D29/$B$11</f>
        <v>0.0660091551990068</v>
      </c>
      <c r="G29" s="26" t="n">
        <f aca="false">SUM(F$26:F29)</f>
        <v>0.307812770703401</v>
      </c>
      <c r="H29" s="20" t="n">
        <v>77188</v>
      </c>
      <c r="I29" s="22" t="n">
        <f aca="false">D29/H29</f>
        <v>1154.65562056278</v>
      </c>
      <c r="J29" s="20" t="n">
        <v>7396</v>
      </c>
      <c r="K29" s="20" t="n">
        <v>1644</v>
      </c>
    </row>
    <row r="30" customFormat="false" ht="15" hidden="false" customHeight="false" outlineLevel="0" collapsed="false">
      <c r="A30" s="32" t="n">
        <v>5</v>
      </c>
      <c r="B30" s="25" t="s">
        <v>122</v>
      </c>
      <c r="C30" s="25" t="s">
        <v>102</v>
      </c>
      <c r="D30" s="18" t="n">
        <v>81950624.11</v>
      </c>
      <c r="E30" s="17" t="n">
        <f aca="false">D30/10000000</f>
        <v>8.195062411</v>
      </c>
      <c r="F30" s="26" t="n">
        <f aca="false">D30/$B$11</f>
        <v>0.0606951763836884</v>
      </c>
      <c r="G30" s="26" t="n">
        <f aca="false">SUM(F$26:F30)</f>
        <v>0.36850794708709</v>
      </c>
      <c r="H30" s="20" t="n">
        <v>43695</v>
      </c>
      <c r="I30" s="22" t="n">
        <f aca="false">D30/H30</f>
        <v>1875.51491269024</v>
      </c>
      <c r="J30" s="20" t="n">
        <v>11927</v>
      </c>
      <c r="K30" s="20" t="n">
        <v>1113</v>
      </c>
    </row>
    <row r="31" customFormat="false" ht="15" hidden="false" customHeight="false" outlineLevel="0" collapsed="false">
      <c r="A31" s="32" t="n">
        <v>6</v>
      </c>
      <c r="B31" s="25" t="s">
        <v>123</v>
      </c>
      <c r="C31" s="25" t="s">
        <v>102</v>
      </c>
      <c r="D31" s="18" t="n">
        <v>75022874.4</v>
      </c>
      <c r="E31" s="17" t="n">
        <f aca="false">D31/10000000</f>
        <v>7.50228744</v>
      </c>
      <c r="F31" s="26" t="n">
        <f aca="false">D31/$B$11</f>
        <v>0.0555642698755684</v>
      </c>
      <c r="G31" s="26" t="n">
        <f aca="false">SUM(F$26:F31)</f>
        <v>0.424072216962658</v>
      </c>
      <c r="H31" s="20" t="n">
        <v>73593</v>
      </c>
      <c r="I31" s="22" t="n">
        <f aca="false">D31/H31</f>
        <v>1019.42948921772</v>
      </c>
      <c r="J31" s="20" t="n">
        <v>3637</v>
      </c>
      <c r="K31" s="20" t="n">
        <v>959</v>
      </c>
    </row>
    <row r="32" customFormat="false" ht="15" hidden="false" customHeight="false" outlineLevel="0" collapsed="false">
      <c r="A32" s="32" t="n">
        <v>7</v>
      </c>
      <c r="B32" s="25" t="s">
        <v>124</v>
      </c>
      <c r="C32" s="25" t="s">
        <v>102</v>
      </c>
      <c r="D32" s="18" t="n">
        <v>65721764.37</v>
      </c>
      <c r="E32" s="17" t="n">
        <f aca="false">D32/10000000</f>
        <v>6.572176437</v>
      </c>
      <c r="F32" s="26" t="n">
        <f aca="false">D32/$B$11</f>
        <v>0.0486755790331755</v>
      </c>
      <c r="G32" s="26" t="n">
        <f aca="false">SUM(F$26:F32)</f>
        <v>0.472747795995834</v>
      </c>
      <c r="H32" s="20" t="n">
        <v>33168</v>
      </c>
      <c r="I32" s="22" t="n">
        <f aca="false">D32/H32</f>
        <v>1981.48107724313</v>
      </c>
      <c r="J32" s="20" t="n">
        <v>7159</v>
      </c>
      <c r="K32" s="20" t="n">
        <v>970</v>
      </c>
    </row>
    <row r="33" customFormat="false" ht="15" hidden="false" customHeight="false" outlineLevel="0" collapsed="false">
      <c r="A33" s="32" t="n">
        <v>8</v>
      </c>
      <c r="B33" s="25" t="s">
        <v>125</v>
      </c>
      <c r="C33" s="25" t="s">
        <v>103</v>
      </c>
      <c r="D33" s="18" t="n">
        <v>62474650.68</v>
      </c>
      <c r="E33" s="17" t="n">
        <f aca="false">D33/10000000</f>
        <v>6.247465068</v>
      </c>
      <c r="F33" s="26" t="n">
        <f aca="false">D33/$B$11</f>
        <v>0.0462706658272931</v>
      </c>
      <c r="G33" s="26" t="n">
        <f aca="false">SUM(F$26:F33)</f>
        <v>0.519018461823127</v>
      </c>
      <c r="H33" s="20" t="n">
        <v>47342</v>
      </c>
      <c r="I33" s="22" t="n">
        <f aca="false">D33/H33</f>
        <v>1319.64536099024</v>
      </c>
      <c r="J33" s="20" t="n">
        <v>10204</v>
      </c>
      <c r="K33" s="20" t="n">
        <v>684</v>
      </c>
    </row>
    <row r="34" customFormat="false" ht="15" hidden="false" customHeight="false" outlineLevel="0" collapsed="false">
      <c r="A34" s="32" t="n">
        <v>9</v>
      </c>
      <c r="B34" s="25" t="s">
        <v>126</v>
      </c>
      <c r="C34" s="25" t="s">
        <v>103</v>
      </c>
      <c r="D34" s="18" t="n">
        <v>56170475.63</v>
      </c>
      <c r="E34" s="17" t="n">
        <f aca="false">D34/10000000</f>
        <v>5.617047563</v>
      </c>
      <c r="F34" s="26" t="n">
        <f aca="false">D34/$B$11</f>
        <v>0.0416015980713258</v>
      </c>
      <c r="G34" s="26" t="n">
        <f aca="false">SUM(F$26:F34)</f>
        <v>0.560620059894452</v>
      </c>
      <c r="H34" s="20" t="n">
        <v>45515</v>
      </c>
      <c r="I34" s="22" t="n">
        <f aca="false">D34/H34</f>
        <v>1234.10909875865</v>
      </c>
      <c r="J34" s="20" t="n">
        <v>9899</v>
      </c>
      <c r="K34" s="20" t="n">
        <v>688</v>
      </c>
    </row>
    <row r="35" customFormat="false" ht="15" hidden="false" customHeight="false" outlineLevel="0" collapsed="false">
      <c r="A35" s="32" t="n">
        <v>10</v>
      </c>
      <c r="B35" s="25" t="s">
        <v>127</v>
      </c>
      <c r="C35" s="25" t="s">
        <v>104</v>
      </c>
      <c r="D35" s="18" t="n">
        <v>46564592.4</v>
      </c>
      <c r="E35" s="17" t="n">
        <f aca="false">D35/10000000</f>
        <v>4.65645924</v>
      </c>
      <c r="F35" s="26" t="n">
        <f aca="false">D35/$B$11</f>
        <v>0.0344871827352891</v>
      </c>
      <c r="G35" s="26" t="n">
        <f aca="false">SUM(F$26:F35)</f>
        <v>0.595107242629742</v>
      </c>
      <c r="H35" s="20" t="n">
        <v>14323</v>
      </c>
      <c r="I35" s="22" t="n">
        <f aca="false">D35/H35</f>
        <v>3251.03626335265</v>
      </c>
      <c r="J35" s="20" t="n">
        <v>4002</v>
      </c>
      <c r="K35" s="20" t="n">
        <v>357</v>
      </c>
    </row>
    <row r="37" customFormat="false" ht="15" hidden="false" customHeight="false" outlineLevel="0" collapsed="false">
      <c r="A37" s="12" t="s">
        <v>128</v>
      </c>
    </row>
    <row r="39" customFormat="false" ht="15" hidden="false" customHeight="false" outlineLevel="0" collapsed="false">
      <c r="A39" s="3" t="s">
        <v>129</v>
      </c>
    </row>
    <row r="40" customFormat="false" ht="31.5" hidden="false" customHeight="true" outlineLevel="0" collapsed="false">
      <c r="A40" s="24" t="s">
        <v>115</v>
      </c>
      <c r="B40" s="24" t="s">
        <v>96</v>
      </c>
      <c r="C40" s="24" t="s">
        <v>72</v>
      </c>
      <c r="D40" s="24" t="s">
        <v>75</v>
      </c>
      <c r="E40" s="24" t="s">
        <v>97</v>
      </c>
      <c r="F40" s="24" t="s">
        <v>98</v>
      </c>
    </row>
    <row r="41" customFormat="false" ht="15" hidden="false" customHeight="false" outlineLevel="0" collapsed="false">
      <c r="A41" s="25" t="s">
        <v>130</v>
      </c>
      <c r="B41" s="25" t="s">
        <v>106</v>
      </c>
      <c r="C41" s="18" t="n">
        <v>8726.56</v>
      </c>
      <c r="D41" s="20" t="n">
        <v>4</v>
      </c>
      <c r="E41" s="20" t="n">
        <v>2</v>
      </c>
      <c r="F41" s="20" t="n">
        <v>1</v>
      </c>
    </row>
    <row r="42" customFormat="false" ht="15" hidden="false" customHeight="false" outlineLevel="0" collapsed="false">
      <c r="A42" s="25" t="s">
        <v>131</v>
      </c>
      <c r="B42" s="25" t="s">
        <v>104</v>
      </c>
      <c r="C42" s="18" t="n">
        <v>12036.01</v>
      </c>
      <c r="D42" s="20" t="n">
        <v>7</v>
      </c>
      <c r="E42" s="20" t="n">
        <v>3</v>
      </c>
      <c r="F42" s="20" t="n">
        <v>1</v>
      </c>
    </row>
    <row r="43" customFormat="false" ht="15" hidden="false" customHeight="false" outlineLevel="0" collapsed="false">
      <c r="A43" s="25" t="s">
        <v>132</v>
      </c>
      <c r="B43" s="25" t="s">
        <v>104</v>
      </c>
      <c r="C43" s="18" t="n">
        <v>15547.56</v>
      </c>
      <c r="D43" s="20" t="n">
        <v>9</v>
      </c>
      <c r="E43" s="20" t="n">
        <v>3</v>
      </c>
      <c r="F43" s="20" t="n">
        <v>1</v>
      </c>
    </row>
    <row r="44" customFormat="false" ht="15" hidden="false" customHeight="false" outlineLevel="0" collapsed="false">
      <c r="A44" s="25" t="s">
        <v>133</v>
      </c>
      <c r="B44" s="25" t="s">
        <v>104</v>
      </c>
      <c r="C44" s="18" t="n">
        <v>16383.18</v>
      </c>
      <c r="D44" s="20" t="n">
        <v>10</v>
      </c>
      <c r="E44" s="20" t="n">
        <v>3</v>
      </c>
      <c r="F44" s="20" t="n">
        <v>1</v>
      </c>
    </row>
    <row r="45" customFormat="false" ht="15" hidden="false" customHeight="false" outlineLevel="0" collapsed="false">
      <c r="A45" s="25" t="s">
        <v>134</v>
      </c>
      <c r="B45" s="25" t="s">
        <v>105</v>
      </c>
      <c r="C45" s="18" t="n">
        <v>47081.46</v>
      </c>
      <c r="D45" s="20" t="n">
        <v>26</v>
      </c>
      <c r="E45" s="20" t="n">
        <v>11</v>
      </c>
      <c r="F45" s="20" t="n">
        <v>1</v>
      </c>
    </row>
    <row r="46" customFormat="false" ht="15" hidden="false" customHeight="false" outlineLevel="0" collapsed="false">
      <c r="A46" s="25" t="s">
        <v>135</v>
      </c>
      <c r="B46" s="25" t="s">
        <v>105</v>
      </c>
      <c r="C46" s="18" t="n">
        <v>55890.98</v>
      </c>
      <c r="D46" s="20" t="n">
        <v>34</v>
      </c>
      <c r="E46" s="20" t="n">
        <v>15</v>
      </c>
      <c r="F46" s="20" t="n">
        <v>1</v>
      </c>
    </row>
    <row r="47" customFormat="false" ht="15" hidden="false" customHeight="false" outlineLevel="0" collapsed="false">
      <c r="A47" s="25" t="s">
        <v>136</v>
      </c>
      <c r="B47" s="25" t="s">
        <v>104</v>
      </c>
      <c r="C47" s="18" t="n">
        <v>56614.32</v>
      </c>
      <c r="D47" s="20" t="n">
        <v>33</v>
      </c>
      <c r="E47" s="20" t="n">
        <v>12</v>
      </c>
      <c r="F47" s="20" t="n">
        <v>6</v>
      </c>
    </row>
    <row r="48" customFormat="false" ht="15" hidden="false" customHeight="false" outlineLevel="0" collapsed="false">
      <c r="A48" s="25" t="s">
        <v>137</v>
      </c>
      <c r="B48" s="25" t="s">
        <v>105</v>
      </c>
      <c r="C48" s="18" t="n">
        <v>95383.47</v>
      </c>
      <c r="D48" s="20" t="n">
        <v>60</v>
      </c>
      <c r="E48" s="20" t="n">
        <v>28</v>
      </c>
      <c r="F48" s="20" t="n">
        <v>2</v>
      </c>
    </row>
    <row r="49" customFormat="false" ht="15" hidden="false" customHeight="false" outlineLevel="0" collapsed="false">
      <c r="A49" s="25" t="s">
        <v>138</v>
      </c>
      <c r="B49" s="25" t="s">
        <v>105</v>
      </c>
      <c r="C49" s="18" t="n">
        <v>106863.65</v>
      </c>
      <c r="D49" s="20" t="n">
        <v>158</v>
      </c>
      <c r="E49" s="20" t="n">
        <v>48</v>
      </c>
      <c r="F49" s="20" t="n">
        <v>1</v>
      </c>
    </row>
    <row r="50" customFormat="false" ht="15" hidden="false" customHeight="false" outlineLevel="0" collapsed="false">
      <c r="A50" s="25" t="s">
        <v>139</v>
      </c>
      <c r="B50" s="25" t="s">
        <v>106</v>
      </c>
      <c r="C50" s="18" t="n">
        <v>107107.4</v>
      </c>
      <c r="D50" s="20" t="n">
        <v>17</v>
      </c>
      <c r="E50" s="20" t="n">
        <v>4</v>
      </c>
      <c r="F50" s="20" t="n">
        <v>1</v>
      </c>
    </row>
    <row r="52" customFormat="false" ht="15" hidden="false" customHeight="false" outlineLevel="0" collapsed="false">
      <c r="A52" s="12" t="s">
        <v>140</v>
      </c>
    </row>
    <row r="54" customFormat="false" ht="15" hidden="false" customHeight="false" outlineLevel="0" collapsed="false">
      <c r="A54" s="3" t="s">
        <v>141</v>
      </c>
    </row>
    <row r="55" customFormat="false" ht="31.5" hidden="false" customHeight="true" outlineLevel="0" collapsed="false">
      <c r="A55" s="24" t="s">
        <v>96</v>
      </c>
      <c r="B55" s="24" t="s">
        <v>57</v>
      </c>
      <c r="C55" s="24" t="s">
        <v>142</v>
      </c>
      <c r="D55" s="24" t="s">
        <v>143</v>
      </c>
      <c r="E55" s="24" t="s">
        <v>144</v>
      </c>
    </row>
    <row r="56" customFormat="false" ht="15" hidden="false" customHeight="false" outlineLevel="0" collapsed="false">
      <c r="A56" s="25" t="s">
        <v>107</v>
      </c>
      <c r="B56" s="21" t="n">
        <v>1</v>
      </c>
      <c r="C56" s="25" t="s">
        <v>145</v>
      </c>
      <c r="D56" s="26" t="n">
        <v>1</v>
      </c>
      <c r="E56" s="21" t="n">
        <v>0</v>
      </c>
    </row>
    <row r="57" customFormat="false" ht="15" hidden="false" customHeight="false" outlineLevel="0" collapsed="false">
      <c r="A57" s="25" t="s">
        <v>105</v>
      </c>
      <c r="B57" s="21" t="n">
        <v>22</v>
      </c>
      <c r="C57" s="25" t="s">
        <v>119</v>
      </c>
      <c r="D57" s="26" t="n">
        <v>0.599692426533108</v>
      </c>
      <c r="E57" s="21" t="n">
        <v>17</v>
      </c>
    </row>
    <row r="58" customFormat="false" ht="15" hidden="false" customHeight="false" outlineLevel="0" collapsed="false">
      <c r="A58" s="25" t="s">
        <v>106</v>
      </c>
      <c r="B58" s="21" t="n">
        <v>19</v>
      </c>
      <c r="C58" s="25" t="s">
        <v>146</v>
      </c>
      <c r="D58" s="26" t="n">
        <v>0.293743498141838</v>
      </c>
      <c r="E58" s="21" t="n">
        <v>8</v>
      </c>
    </row>
    <row r="59" customFormat="false" ht="15" hidden="false" customHeight="false" outlineLevel="0" collapsed="false">
      <c r="A59" s="25" t="s">
        <v>103</v>
      </c>
      <c r="B59" s="21" t="n">
        <v>14</v>
      </c>
      <c r="C59" s="25" t="s">
        <v>125</v>
      </c>
      <c r="D59" s="26" t="n">
        <v>0.213993318258152</v>
      </c>
      <c r="E59" s="21" t="n">
        <v>0</v>
      </c>
    </row>
    <row r="60" customFormat="false" ht="15" hidden="false" customHeight="false" outlineLevel="0" collapsed="false">
      <c r="A60" s="25" t="s">
        <v>102</v>
      </c>
      <c r="B60" s="21" t="n">
        <v>13</v>
      </c>
      <c r="C60" s="25" t="s">
        <v>118</v>
      </c>
      <c r="D60" s="26" t="n">
        <v>0.207260717546522</v>
      </c>
      <c r="E60" s="21" t="n">
        <v>5</v>
      </c>
    </row>
    <row r="61" customFormat="false" ht="15" hidden="false" customHeight="false" outlineLevel="0" collapsed="false">
      <c r="A61" s="25" t="s">
        <v>104</v>
      </c>
      <c r="B61" s="21" t="n">
        <v>24</v>
      </c>
      <c r="C61" s="25" t="s">
        <v>127</v>
      </c>
      <c r="D61" s="26" t="n">
        <v>0.191570032441219</v>
      </c>
      <c r="E61" s="21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5"/>
  </cols>
  <sheetData>
    <row r="1" customFormat="false" ht="19.7" hidden="false" customHeight="false" outlineLevel="0" collapsed="false">
      <c r="A1" s="11" t="s">
        <v>147</v>
      </c>
    </row>
    <row r="2" customFormat="false" ht="15" hidden="false" customHeight="false" outlineLevel="0" collapsed="false">
      <c r="A2" s="12" t="s">
        <v>148</v>
      </c>
    </row>
    <row r="4" customFormat="false" ht="31.5" hidden="false" customHeight="true" outlineLevel="0" collapsed="false">
      <c r="A4" s="24" t="s">
        <v>101</v>
      </c>
      <c r="B4" s="24" t="s">
        <v>96</v>
      </c>
      <c r="C4" s="24" t="s">
        <v>115</v>
      </c>
      <c r="D4" s="24" t="s">
        <v>72</v>
      </c>
      <c r="E4" s="24" t="s">
        <v>73</v>
      </c>
      <c r="F4" s="24" t="s">
        <v>116</v>
      </c>
      <c r="G4" s="24" t="s">
        <v>117</v>
      </c>
      <c r="H4" s="24" t="s">
        <v>75</v>
      </c>
      <c r="I4" s="24" t="s">
        <v>77</v>
      </c>
      <c r="J4" s="24" t="s">
        <v>97</v>
      </c>
      <c r="K4" s="24" t="s">
        <v>98</v>
      </c>
      <c r="L4" s="24" t="s">
        <v>149</v>
      </c>
    </row>
    <row r="5" customFormat="false" ht="15" hidden="false" customHeight="false" outlineLevel="0" collapsed="false">
      <c r="A5" s="32" t="n">
        <v>1</v>
      </c>
      <c r="B5" s="25" t="s">
        <v>102</v>
      </c>
      <c r="C5" s="25" t="s">
        <v>118</v>
      </c>
      <c r="D5" s="18" t="n">
        <v>124601736.8</v>
      </c>
      <c r="E5" s="17" t="n">
        <f aca="false">D5/10000000</f>
        <v>12.46017368</v>
      </c>
      <c r="F5" s="34" t="n">
        <f aca="false">D5/D98</f>
        <v>0.0922839145512631</v>
      </c>
      <c r="G5" s="26" t="n">
        <f aca="false">SUM(F$5:F5)</f>
        <v>0.0922839145512631</v>
      </c>
      <c r="H5" s="20" t="n">
        <v>32641</v>
      </c>
      <c r="I5" s="22" t="n">
        <f aca="false">D5/H5</f>
        <v>3817.33821880457</v>
      </c>
      <c r="J5" s="20" t="n">
        <v>9433</v>
      </c>
      <c r="K5" s="20" t="n">
        <v>1870</v>
      </c>
      <c r="L5" s="22" t="n">
        <f aca="false">D5/K5</f>
        <v>66631.9448128342</v>
      </c>
    </row>
    <row r="6" customFormat="false" ht="15" hidden="false" customHeight="false" outlineLevel="0" collapsed="false">
      <c r="A6" s="32" t="n">
        <v>2</v>
      </c>
      <c r="B6" s="25" t="s">
        <v>105</v>
      </c>
      <c r="C6" s="25" t="s">
        <v>119</v>
      </c>
      <c r="D6" s="18" t="n">
        <v>102591229.86</v>
      </c>
      <c r="E6" s="17" t="n">
        <f aca="false">D6/10000000</f>
        <v>10.259122986</v>
      </c>
      <c r="F6" s="34" t="n">
        <f aca="false">D6/D98</f>
        <v>0.0759822497924382</v>
      </c>
      <c r="G6" s="26" t="n">
        <f aca="false">SUM(F$5:F6)</f>
        <v>0.168266164343701</v>
      </c>
      <c r="H6" s="20" t="n">
        <v>26873</v>
      </c>
      <c r="I6" s="22" t="n">
        <f aca="false">D6/H6</f>
        <v>3817.63219067466</v>
      </c>
      <c r="J6" s="20" t="n">
        <v>1609</v>
      </c>
      <c r="K6" s="20" t="n">
        <v>85</v>
      </c>
      <c r="L6" s="22" t="n">
        <f aca="false">D6/K6</f>
        <v>1206955.64541176</v>
      </c>
    </row>
    <row r="7" customFormat="false" ht="15" hidden="false" customHeight="false" outlineLevel="0" collapsed="false">
      <c r="A7" s="32" t="n">
        <v>3</v>
      </c>
      <c r="B7" s="25" t="s">
        <v>102</v>
      </c>
      <c r="C7" s="25" t="s">
        <v>120</v>
      </c>
      <c r="D7" s="18" t="n">
        <v>99290262.87</v>
      </c>
      <c r="E7" s="17" t="n">
        <f aca="false">D7/10000000</f>
        <v>9.929026287</v>
      </c>
      <c r="F7" s="34" t="n">
        <f aca="false">D7/D98</f>
        <v>0.0735374511606931</v>
      </c>
      <c r="G7" s="26" t="n">
        <f aca="false">SUM(F$5:F7)</f>
        <v>0.241803615504394</v>
      </c>
      <c r="H7" s="20" t="n">
        <v>26555</v>
      </c>
      <c r="I7" s="22" t="n">
        <f aca="false">D7/H7</f>
        <v>3739.04209640369</v>
      </c>
      <c r="J7" s="20" t="n">
        <v>7909</v>
      </c>
      <c r="K7" s="20" t="n">
        <v>1765</v>
      </c>
      <c r="L7" s="22" t="n">
        <f aca="false">D7/K7</f>
        <v>56255.1064419264</v>
      </c>
    </row>
    <row r="8" customFormat="false" ht="15" hidden="false" customHeight="false" outlineLevel="0" collapsed="false">
      <c r="A8" s="32" t="n">
        <v>4</v>
      </c>
      <c r="B8" s="25" t="s">
        <v>102</v>
      </c>
      <c r="C8" s="25" t="s">
        <v>121</v>
      </c>
      <c r="D8" s="18" t="n">
        <v>89125558.04</v>
      </c>
      <c r="E8" s="17" t="n">
        <f aca="false">D8/10000000</f>
        <v>8.912555804</v>
      </c>
      <c r="F8" s="34" t="n">
        <f aca="false">D8/D98</f>
        <v>0.0660091551990068</v>
      </c>
      <c r="G8" s="26" t="n">
        <f aca="false">SUM(F$5:F8)</f>
        <v>0.307812770703401</v>
      </c>
      <c r="H8" s="20" t="n">
        <v>77188</v>
      </c>
      <c r="I8" s="22" t="n">
        <f aca="false">D8/H8</f>
        <v>1154.65562056278</v>
      </c>
      <c r="J8" s="20" t="n">
        <v>7396</v>
      </c>
      <c r="K8" s="20" t="n">
        <v>1644</v>
      </c>
      <c r="L8" s="22" t="n">
        <f aca="false">D8/K8</f>
        <v>54212.6265450122</v>
      </c>
    </row>
    <row r="9" customFormat="false" ht="15" hidden="false" customHeight="false" outlineLevel="0" collapsed="false">
      <c r="A9" s="32" t="n">
        <v>5</v>
      </c>
      <c r="B9" s="25" t="s">
        <v>102</v>
      </c>
      <c r="C9" s="25" t="s">
        <v>122</v>
      </c>
      <c r="D9" s="18" t="n">
        <v>81950624.11</v>
      </c>
      <c r="E9" s="17" t="n">
        <f aca="false">D9/10000000</f>
        <v>8.195062411</v>
      </c>
      <c r="F9" s="34" t="n">
        <f aca="false">D9/D98</f>
        <v>0.0606951763836884</v>
      </c>
      <c r="G9" s="26" t="n">
        <f aca="false">SUM(F$5:F9)</f>
        <v>0.36850794708709</v>
      </c>
      <c r="H9" s="20" t="n">
        <v>43695</v>
      </c>
      <c r="I9" s="22" t="n">
        <f aca="false">D9/H9</f>
        <v>1875.51491269024</v>
      </c>
      <c r="J9" s="20" t="n">
        <v>11927</v>
      </c>
      <c r="K9" s="20" t="n">
        <v>1113</v>
      </c>
      <c r="L9" s="22" t="n">
        <f aca="false">D9/K9</f>
        <v>73630.3900359389</v>
      </c>
    </row>
    <row r="10" customFormat="false" ht="15" hidden="false" customHeight="false" outlineLevel="0" collapsed="false">
      <c r="A10" s="32" t="n">
        <v>6</v>
      </c>
      <c r="B10" s="25" t="s">
        <v>102</v>
      </c>
      <c r="C10" s="25" t="s">
        <v>123</v>
      </c>
      <c r="D10" s="18" t="n">
        <v>75022874.4</v>
      </c>
      <c r="E10" s="17" t="n">
        <f aca="false">D10/10000000</f>
        <v>7.50228744</v>
      </c>
      <c r="F10" s="34" t="n">
        <f aca="false">D10/D98</f>
        <v>0.0555642698755684</v>
      </c>
      <c r="G10" s="26" t="n">
        <f aca="false">SUM(F$5:F10)</f>
        <v>0.424072216962658</v>
      </c>
      <c r="H10" s="20" t="n">
        <v>73593</v>
      </c>
      <c r="I10" s="22" t="n">
        <f aca="false">D10/H10</f>
        <v>1019.42948921772</v>
      </c>
      <c r="J10" s="20" t="n">
        <v>3637</v>
      </c>
      <c r="K10" s="20" t="n">
        <v>959</v>
      </c>
      <c r="L10" s="22" t="n">
        <f aca="false">D10/K10</f>
        <v>78230.3174139729</v>
      </c>
    </row>
    <row r="11" customFormat="false" ht="15" hidden="false" customHeight="false" outlineLevel="0" collapsed="false">
      <c r="A11" s="32" t="n">
        <v>7</v>
      </c>
      <c r="B11" s="25" t="s">
        <v>102</v>
      </c>
      <c r="C11" s="25" t="s">
        <v>124</v>
      </c>
      <c r="D11" s="18" t="n">
        <v>65721764.37</v>
      </c>
      <c r="E11" s="17" t="n">
        <f aca="false">D11/10000000</f>
        <v>6.572176437</v>
      </c>
      <c r="F11" s="34" t="n">
        <f aca="false">D11/D98</f>
        <v>0.0486755790331755</v>
      </c>
      <c r="G11" s="26" t="n">
        <f aca="false">SUM(F$5:F11)</f>
        <v>0.472747795995834</v>
      </c>
      <c r="H11" s="20" t="n">
        <v>33168</v>
      </c>
      <c r="I11" s="22" t="n">
        <f aca="false">D11/H11</f>
        <v>1981.48107724313</v>
      </c>
      <c r="J11" s="20" t="n">
        <v>7159</v>
      </c>
      <c r="K11" s="20" t="n">
        <v>970</v>
      </c>
      <c r="L11" s="22" t="n">
        <f aca="false">D11/K11</f>
        <v>67754.396257732</v>
      </c>
    </row>
    <row r="12" customFormat="false" ht="15" hidden="false" customHeight="false" outlineLevel="0" collapsed="false">
      <c r="A12" s="32" t="n">
        <v>8</v>
      </c>
      <c r="B12" s="25" t="s">
        <v>103</v>
      </c>
      <c r="C12" s="25" t="s">
        <v>125</v>
      </c>
      <c r="D12" s="18" t="n">
        <v>62474650.68</v>
      </c>
      <c r="E12" s="17" t="n">
        <f aca="false">D12/10000000</f>
        <v>6.247465068</v>
      </c>
      <c r="F12" s="34" t="n">
        <f aca="false">D12/D98</f>
        <v>0.0462706658272931</v>
      </c>
      <c r="G12" s="26" t="n">
        <f aca="false">SUM(F$5:F12)</f>
        <v>0.519018461823127</v>
      </c>
      <c r="H12" s="20" t="n">
        <v>47342</v>
      </c>
      <c r="I12" s="22" t="n">
        <f aca="false">D12/H12</f>
        <v>1319.64536099024</v>
      </c>
      <c r="J12" s="20" t="n">
        <v>10204</v>
      </c>
      <c r="K12" s="20" t="n">
        <v>684</v>
      </c>
      <c r="L12" s="22" t="n">
        <f aca="false">D12/K12</f>
        <v>91337.2085964912</v>
      </c>
    </row>
    <row r="13" customFormat="false" ht="15" hidden="false" customHeight="false" outlineLevel="0" collapsed="false">
      <c r="A13" s="32" t="n">
        <v>9</v>
      </c>
      <c r="B13" s="25" t="s">
        <v>103</v>
      </c>
      <c r="C13" s="25" t="s">
        <v>126</v>
      </c>
      <c r="D13" s="18" t="n">
        <v>56170475.63</v>
      </c>
      <c r="E13" s="17" t="n">
        <f aca="false">D13/10000000</f>
        <v>5.617047563</v>
      </c>
      <c r="F13" s="34" t="n">
        <f aca="false">D13/D98</f>
        <v>0.0416015980713258</v>
      </c>
      <c r="G13" s="26" t="n">
        <f aca="false">SUM(F$5:F13)</f>
        <v>0.560620059894452</v>
      </c>
      <c r="H13" s="20" t="n">
        <v>45515</v>
      </c>
      <c r="I13" s="22" t="n">
        <f aca="false">D13/H13</f>
        <v>1234.10909875865</v>
      </c>
      <c r="J13" s="20" t="n">
        <v>9899</v>
      </c>
      <c r="K13" s="20" t="n">
        <v>688</v>
      </c>
      <c r="L13" s="22" t="n">
        <f aca="false">D13/K13</f>
        <v>81643.1331831395</v>
      </c>
    </row>
    <row r="14" customFormat="false" ht="15" hidden="false" customHeight="false" outlineLevel="0" collapsed="false">
      <c r="A14" s="32" t="n">
        <v>10</v>
      </c>
      <c r="B14" s="25" t="s">
        <v>104</v>
      </c>
      <c r="C14" s="25" t="s">
        <v>127</v>
      </c>
      <c r="D14" s="18" t="n">
        <v>46564592.4</v>
      </c>
      <c r="E14" s="17" t="n">
        <f aca="false">D14/10000000</f>
        <v>4.65645924</v>
      </c>
      <c r="F14" s="34" t="n">
        <f aca="false">D14/D98</f>
        <v>0.0344871827352891</v>
      </c>
      <c r="G14" s="26" t="n">
        <f aca="false">SUM(F$5:F14)</f>
        <v>0.595107242629742</v>
      </c>
      <c r="H14" s="20" t="n">
        <v>14323</v>
      </c>
      <c r="I14" s="22" t="n">
        <f aca="false">D14/H14</f>
        <v>3251.03626335265</v>
      </c>
      <c r="J14" s="20" t="n">
        <v>4002</v>
      </c>
      <c r="K14" s="20" t="n">
        <v>357</v>
      </c>
      <c r="L14" s="22" t="n">
        <f aca="false">D14/K14</f>
        <v>130433.031932773</v>
      </c>
    </row>
    <row r="15" customFormat="false" ht="15" hidden="false" customHeight="false" outlineLevel="0" collapsed="false">
      <c r="A15" s="32" t="n">
        <v>11</v>
      </c>
      <c r="B15" s="25" t="s">
        <v>104</v>
      </c>
      <c r="C15" s="25" t="s">
        <v>150</v>
      </c>
      <c r="D15" s="18" t="n">
        <v>34439600.34</v>
      </c>
      <c r="E15" s="17" t="n">
        <f aca="false">D15/10000000</f>
        <v>3.443960034</v>
      </c>
      <c r="F15" s="34" t="n">
        <f aca="false">D15/D98</f>
        <v>0.0255070371936919</v>
      </c>
      <c r="G15" s="26" t="n">
        <f aca="false">SUM(F$5:F15)</f>
        <v>0.620614279823434</v>
      </c>
      <c r="H15" s="20" t="n">
        <v>32762</v>
      </c>
      <c r="I15" s="22" t="n">
        <f aca="false">D15/H15</f>
        <v>1051.20567547769</v>
      </c>
      <c r="J15" s="20" t="n">
        <v>3152</v>
      </c>
      <c r="K15" s="20" t="n">
        <v>127</v>
      </c>
      <c r="L15" s="22" t="n">
        <f aca="false">D15/K15</f>
        <v>271177.955433071</v>
      </c>
    </row>
    <row r="16" customFormat="false" ht="15" hidden="false" customHeight="false" outlineLevel="0" collapsed="false">
      <c r="A16" s="32" t="n">
        <v>12</v>
      </c>
      <c r="B16" s="25" t="s">
        <v>102</v>
      </c>
      <c r="C16" s="25" t="s">
        <v>151</v>
      </c>
      <c r="D16" s="18" t="n">
        <v>34071608.42</v>
      </c>
      <c r="E16" s="17" t="n">
        <f aca="false">D16/10000000</f>
        <v>3.407160842</v>
      </c>
      <c r="F16" s="34" t="n">
        <f aca="false">D16/D98</f>
        <v>0.0252344909533827</v>
      </c>
      <c r="G16" s="26" t="n">
        <f aca="false">SUM(F$5:F16)</f>
        <v>0.645848770776816</v>
      </c>
      <c r="H16" s="20" t="n">
        <v>15997</v>
      </c>
      <c r="I16" s="22" t="n">
        <f aca="false">D16/H16</f>
        <v>2129.87487778959</v>
      </c>
      <c r="J16" s="20" t="n">
        <v>3225</v>
      </c>
      <c r="K16" s="20" t="n">
        <v>354</v>
      </c>
      <c r="L16" s="22" t="n">
        <f aca="false">D16/K16</f>
        <v>96247.4814124294</v>
      </c>
    </row>
    <row r="17" customFormat="false" ht="15" hidden="false" customHeight="false" outlineLevel="0" collapsed="false">
      <c r="A17" s="32" t="n">
        <v>13</v>
      </c>
      <c r="B17" s="25" t="s">
        <v>104</v>
      </c>
      <c r="C17" s="25" t="s">
        <v>152</v>
      </c>
      <c r="D17" s="18" t="n">
        <v>31507179.94</v>
      </c>
      <c r="E17" s="17" t="n">
        <f aca="false">D17/10000000</f>
        <v>3.150717994</v>
      </c>
      <c r="F17" s="34" t="n">
        <f aca="false">D17/D98</f>
        <v>0.0233351956080778</v>
      </c>
      <c r="G17" s="26" t="n">
        <f aca="false">SUM(F$5:F17)</f>
        <v>0.669183966384894</v>
      </c>
      <c r="H17" s="20" t="n">
        <v>11335</v>
      </c>
      <c r="I17" s="22" t="n">
        <f aca="false">D17/H17</f>
        <v>2779.63651874724</v>
      </c>
      <c r="J17" s="20" t="n">
        <v>2748</v>
      </c>
      <c r="K17" s="20" t="n">
        <v>378</v>
      </c>
      <c r="L17" s="22" t="n">
        <f aca="false">D17/K17</f>
        <v>83352.3278835979</v>
      </c>
    </row>
    <row r="18" customFormat="false" ht="15" hidden="false" customHeight="false" outlineLevel="0" collapsed="false">
      <c r="A18" s="32" t="n">
        <v>14</v>
      </c>
      <c r="B18" s="25" t="s">
        <v>103</v>
      </c>
      <c r="C18" s="25" t="s">
        <v>153</v>
      </c>
      <c r="D18" s="18" t="n">
        <v>30389295.27</v>
      </c>
      <c r="E18" s="17" t="n">
        <f aca="false">D18/10000000</f>
        <v>3.038929527</v>
      </c>
      <c r="F18" s="34" t="n">
        <f aca="false">D18/D98</f>
        <v>0.0225072555166003</v>
      </c>
      <c r="G18" s="26" t="n">
        <f aca="false">SUM(F$5:F18)</f>
        <v>0.691691221901495</v>
      </c>
      <c r="H18" s="20" t="n">
        <v>19808</v>
      </c>
      <c r="I18" s="22" t="n">
        <f aca="false">D18/H18</f>
        <v>1534.193016458</v>
      </c>
      <c r="J18" s="20" t="n">
        <v>4541</v>
      </c>
      <c r="K18" s="20" t="n">
        <v>435</v>
      </c>
      <c r="L18" s="22" t="n">
        <f aca="false">D18/K18</f>
        <v>69860.4488965517</v>
      </c>
    </row>
    <row r="19" customFormat="false" ht="15" hidden="false" customHeight="false" outlineLevel="0" collapsed="false">
      <c r="A19" s="32" t="n">
        <v>15</v>
      </c>
      <c r="B19" s="25" t="s">
        <v>103</v>
      </c>
      <c r="C19" s="25" t="s">
        <v>154</v>
      </c>
      <c r="D19" s="18" t="n">
        <v>28731778.52</v>
      </c>
      <c r="E19" s="17" t="n">
        <f aca="false">D19/10000000</f>
        <v>2.873177852</v>
      </c>
      <c r="F19" s="34" t="n">
        <f aca="false">D19/D98</f>
        <v>0.0212796471537265</v>
      </c>
      <c r="G19" s="26" t="n">
        <f aca="false">SUM(F$5:F19)</f>
        <v>0.712970869055221</v>
      </c>
      <c r="H19" s="20" t="n">
        <v>30257</v>
      </c>
      <c r="I19" s="22" t="n">
        <f aca="false">D19/H19</f>
        <v>949.591120071388</v>
      </c>
      <c r="J19" s="20" t="n">
        <v>3799</v>
      </c>
      <c r="K19" s="20" t="n">
        <v>138</v>
      </c>
      <c r="L19" s="22" t="n">
        <f aca="false">D19/K19</f>
        <v>208201.293623188</v>
      </c>
    </row>
    <row r="20" customFormat="false" ht="15" hidden="false" customHeight="false" outlineLevel="0" collapsed="false">
      <c r="A20" s="32" t="n">
        <v>16</v>
      </c>
      <c r="B20" s="25" t="s">
        <v>104</v>
      </c>
      <c r="C20" s="25" t="s">
        <v>155</v>
      </c>
      <c r="D20" s="18" t="n">
        <v>24696769.49</v>
      </c>
      <c r="E20" s="17" t="n">
        <f aca="false">D20/10000000</f>
        <v>2.469676949</v>
      </c>
      <c r="F20" s="34" t="n">
        <f aca="false">D20/D98</f>
        <v>0.0182911941987265</v>
      </c>
      <c r="G20" s="26" t="n">
        <f aca="false">SUM(F$5:F20)</f>
        <v>0.731262063253947</v>
      </c>
      <c r="H20" s="20" t="n">
        <v>12073</v>
      </c>
      <c r="I20" s="22" t="n">
        <f aca="false">D20/H20</f>
        <v>2045.61993622132</v>
      </c>
      <c r="J20" s="20" t="n">
        <v>204</v>
      </c>
      <c r="K20" s="20" t="n">
        <v>49</v>
      </c>
      <c r="L20" s="22" t="n">
        <f aca="false">D20/K20</f>
        <v>504015.703877551</v>
      </c>
    </row>
    <row r="21" customFormat="false" ht="15" hidden="false" customHeight="false" outlineLevel="0" collapsed="false">
      <c r="A21" s="32" t="n">
        <v>17</v>
      </c>
      <c r="B21" s="25" t="s">
        <v>102</v>
      </c>
      <c r="C21" s="25" t="s">
        <v>156</v>
      </c>
      <c r="D21" s="18" t="n">
        <v>24339226.41</v>
      </c>
      <c r="E21" s="17" t="n">
        <f aca="false">D21/10000000</f>
        <v>2.433922641</v>
      </c>
      <c r="F21" s="34" t="n">
        <f aca="false">D21/D98</f>
        <v>0.0180263866937069</v>
      </c>
      <c r="G21" s="26" t="n">
        <f aca="false">SUM(F$5:F21)</f>
        <v>0.749288449947654</v>
      </c>
      <c r="H21" s="20" t="n">
        <v>12902</v>
      </c>
      <c r="I21" s="22" t="n">
        <f aca="false">D21/H21</f>
        <v>1886.46926135483</v>
      </c>
      <c r="J21" s="20" t="n">
        <v>2848</v>
      </c>
      <c r="K21" s="20" t="n">
        <v>305</v>
      </c>
      <c r="L21" s="22" t="n">
        <f aca="false">D21/K21</f>
        <v>79800.7423278689</v>
      </c>
    </row>
    <row r="22" customFormat="false" ht="15" hidden="false" customHeight="false" outlineLevel="0" collapsed="false">
      <c r="A22" s="32" t="n">
        <v>18</v>
      </c>
      <c r="B22" s="25" t="s">
        <v>104</v>
      </c>
      <c r="C22" s="25" t="s">
        <v>157</v>
      </c>
      <c r="D22" s="18" t="n">
        <v>21360995.29</v>
      </c>
      <c r="E22" s="17" t="n">
        <f aca="false">D22/10000000</f>
        <v>2.136099529</v>
      </c>
      <c r="F22" s="34" t="n">
        <f aca="false">D22/D98</f>
        <v>0.015820616266661</v>
      </c>
      <c r="G22" s="26" t="n">
        <f aca="false">SUM(F$5:F22)</f>
        <v>0.765109066214315</v>
      </c>
      <c r="H22" s="20" t="n">
        <v>37477</v>
      </c>
      <c r="I22" s="22" t="n">
        <f aca="false">D22/H22</f>
        <v>569.976126424207</v>
      </c>
      <c r="J22" s="20" t="n">
        <v>3809</v>
      </c>
      <c r="K22" s="20" t="n">
        <v>134</v>
      </c>
      <c r="L22" s="22" t="n">
        <f aca="false">D22/K22</f>
        <v>159410.41261194</v>
      </c>
    </row>
    <row r="23" customFormat="false" ht="15" hidden="false" customHeight="false" outlineLevel="0" collapsed="false">
      <c r="A23" s="32" t="n">
        <v>19</v>
      </c>
      <c r="B23" s="25" t="s">
        <v>103</v>
      </c>
      <c r="C23" s="25" t="s">
        <v>158</v>
      </c>
      <c r="D23" s="18" t="n">
        <v>21247075.97</v>
      </c>
      <c r="E23" s="17" t="n">
        <f aca="false">D23/10000000</f>
        <v>2.124707597</v>
      </c>
      <c r="F23" s="34" t="n">
        <f aca="false">D23/D98</f>
        <v>0.0157362440816289</v>
      </c>
      <c r="G23" s="26" t="n">
        <f aca="false">SUM(F$5:F23)</f>
        <v>0.780845310295944</v>
      </c>
      <c r="H23" s="20" t="n">
        <v>15517</v>
      </c>
      <c r="I23" s="22" t="n">
        <f aca="false">D23/H23</f>
        <v>1369.27730682477</v>
      </c>
      <c r="J23" s="20" t="n">
        <v>3853</v>
      </c>
      <c r="K23" s="20" t="n">
        <v>420</v>
      </c>
      <c r="L23" s="22" t="n">
        <f aca="false">D23/K23</f>
        <v>50588.2761190476</v>
      </c>
    </row>
    <row r="24" customFormat="false" ht="15" hidden="false" customHeight="false" outlineLevel="0" collapsed="false">
      <c r="A24" s="32" t="n">
        <v>20</v>
      </c>
      <c r="B24" s="25" t="s">
        <v>105</v>
      </c>
      <c r="C24" s="25" t="s">
        <v>159</v>
      </c>
      <c r="D24" s="18" t="n">
        <v>18910939.8</v>
      </c>
      <c r="E24" s="17" t="n">
        <f aca="false">D24/10000000</f>
        <v>1.89109398</v>
      </c>
      <c r="F24" s="34" t="n">
        <f aca="false">D24/D98</f>
        <v>0.0140060291084745</v>
      </c>
      <c r="G24" s="26" t="n">
        <f aca="false">SUM(F$5:F24)</f>
        <v>0.794851339404419</v>
      </c>
      <c r="H24" s="20" t="n">
        <v>16805</v>
      </c>
      <c r="I24" s="22" t="n">
        <f aca="false">D24/H24</f>
        <v>1125.31626301696</v>
      </c>
      <c r="J24" s="20" t="n">
        <v>424</v>
      </c>
      <c r="K24" s="20" t="n">
        <v>9</v>
      </c>
      <c r="L24" s="22" t="n">
        <f aca="false">D24/K24</f>
        <v>2101215.53333333</v>
      </c>
    </row>
    <row r="25" customFormat="false" ht="15" hidden="false" customHeight="false" outlineLevel="0" collapsed="false">
      <c r="A25" s="32" t="n">
        <v>21</v>
      </c>
      <c r="B25" s="25" t="s">
        <v>103</v>
      </c>
      <c r="C25" s="25" t="s">
        <v>160</v>
      </c>
      <c r="D25" s="18" t="n">
        <v>17839725.17</v>
      </c>
      <c r="E25" s="17" t="n">
        <f aca="false">D25/10000000</f>
        <v>1.783972517</v>
      </c>
      <c r="F25" s="34" t="n">
        <f aca="false">D25/D98</f>
        <v>0.0132126542974985</v>
      </c>
      <c r="G25" s="26" t="n">
        <f aca="false">SUM(F$5:F25)</f>
        <v>0.808063993701917</v>
      </c>
      <c r="H25" s="20" t="n">
        <v>5447</v>
      </c>
      <c r="I25" s="22" t="n">
        <f aca="false">D25/H25</f>
        <v>3275.14690104645</v>
      </c>
      <c r="J25" s="20" t="n">
        <v>1689</v>
      </c>
      <c r="K25" s="20" t="n">
        <v>418</v>
      </c>
      <c r="L25" s="22" t="n">
        <f aca="false">D25/K25</f>
        <v>42678.7683492823</v>
      </c>
    </row>
    <row r="26" customFormat="false" ht="15" hidden="false" customHeight="false" outlineLevel="0" collapsed="false">
      <c r="A26" s="32" t="n">
        <v>22</v>
      </c>
      <c r="B26" s="25" t="s">
        <v>105</v>
      </c>
      <c r="C26" s="25" t="s">
        <v>161</v>
      </c>
      <c r="D26" s="18" t="n">
        <v>17332765.48</v>
      </c>
      <c r="E26" s="17" t="n">
        <f aca="false">D26/10000000</f>
        <v>1.733276548</v>
      </c>
      <c r="F26" s="34" t="n">
        <f aca="false">D26/D98</f>
        <v>0.0128371842124548</v>
      </c>
      <c r="G26" s="26" t="n">
        <f aca="false">SUM(F$5:F26)</f>
        <v>0.820901177914372</v>
      </c>
      <c r="H26" s="20" t="n">
        <v>38306</v>
      </c>
      <c r="I26" s="22" t="n">
        <f aca="false">D26/H26</f>
        <v>452.481738631024</v>
      </c>
      <c r="J26" s="20" t="n">
        <v>391</v>
      </c>
      <c r="K26" s="20" t="n">
        <v>11</v>
      </c>
      <c r="L26" s="22" t="n">
        <f aca="false">D26/K26</f>
        <v>1575705.95272727</v>
      </c>
    </row>
    <row r="27" customFormat="false" ht="15" hidden="false" customHeight="false" outlineLevel="0" collapsed="false">
      <c r="A27" s="32" t="n">
        <v>23</v>
      </c>
      <c r="B27" s="25" t="s">
        <v>103</v>
      </c>
      <c r="C27" s="25" t="s">
        <v>162</v>
      </c>
      <c r="D27" s="18" t="n">
        <v>14966448.75</v>
      </c>
      <c r="E27" s="17" t="n">
        <f aca="false">D27/10000000</f>
        <v>1.496644875</v>
      </c>
      <c r="F27" s="34" t="n">
        <f aca="false">D27/D98</f>
        <v>0.011084616579605</v>
      </c>
      <c r="G27" s="26" t="n">
        <f aca="false">SUM(F$5:F27)</f>
        <v>0.831985794493977</v>
      </c>
      <c r="H27" s="20" t="n">
        <v>9538</v>
      </c>
      <c r="I27" s="22" t="n">
        <f aca="false">D27/H27</f>
        <v>1569.13910148878</v>
      </c>
      <c r="J27" s="20" t="n">
        <v>2744</v>
      </c>
      <c r="K27" s="20" t="n">
        <v>354</v>
      </c>
      <c r="L27" s="22" t="n">
        <f aca="false">D27/K27</f>
        <v>42278.1038135593</v>
      </c>
    </row>
    <row r="28" customFormat="false" ht="15" hidden="false" customHeight="false" outlineLevel="0" collapsed="false">
      <c r="A28" s="32" t="n">
        <v>24</v>
      </c>
      <c r="B28" s="25" t="s">
        <v>104</v>
      </c>
      <c r="C28" s="25" t="s">
        <v>163</v>
      </c>
      <c r="D28" s="18" t="n">
        <v>14719336.74</v>
      </c>
      <c r="E28" s="17" t="n">
        <f aca="false">D28/10000000</f>
        <v>1.471933674</v>
      </c>
      <c r="F28" s="34" t="n">
        <f aca="false">D28/D98</f>
        <v>0.0109015977533744</v>
      </c>
      <c r="G28" s="26" t="n">
        <f aca="false">SUM(F$5:F28)</f>
        <v>0.842887392247351</v>
      </c>
      <c r="H28" s="20" t="n">
        <v>3610</v>
      </c>
      <c r="I28" s="22" t="n">
        <f aca="false">D28/H28</f>
        <v>4077.37859833795</v>
      </c>
      <c r="J28" s="20" t="n">
        <v>759</v>
      </c>
      <c r="K28" s="20" t="n">
        <v>115</v>
      </c>
      <c r="L28" s="22" t="n">
        <f aca="false">D28/K28</f>
        <v>127994.232521739</v>
      </c>
    </row>
    <row r="29" customFormat="false" ht="15" hidden="false" customHeight="false" outlineLevel="0" collapsed="false">
      <c r="A29" s="32" t="n">
        <v>25</v>
      </c>
      <c r="B29" s="25" t="s">
        <v>105</v>
      </c>
      <c r="C29" s="25" t="s">
        <v>164</v>
      </c>
      <c r="D29" s="18" t="n">
        <v>13862886.43</v>
      </c>
      <c r="E29" s="17" t="n">
        <f aca="false">D29/10000000</f>
        <v>1.386288643</v>
      </c>
      <c r="F29" s="34" t="n">
        <f aca="false">D29/D98</f>
        <v>0.0102672840651767</v>
      </c>
      <c r="G29" s="26" t="n">
        <f aca="false">SUM(F$5:F29)</f>
        <v>0.853154676312528</v>
      </c>
      <c r="H29" s="20" t="n">
        <v>5890</v>
      </c>
      <c r="I29" s="22" t="n">
        <f aca="false">D29/H29</f>
        <v>2353.63097283531</v>
      </c>
      <c r="J29" s="20" t="n">
        <v>551</v>
      </c>
      <c r="K29" s="20" t="n">
        <v>18</v>
      </c>
      <c r="L29" s="22" t="n">
        <f aca="false">D29/K29</f>
        <v>770160.357222222</v>
      </c>
    </row>
    <row r="30" customFormat="false" ht="15" hidden="false" customHeight="false" outlineLevel="0" collapsed="false">
      <c r="A30" s="32" t="n">
        <v>26</v>
      </c>
      <c r="B30" s="25" t="s">
        <v>106</v>
      </c>
      <c r="C30" s="25" t="s">
        <v>146</v>
      </c>
      <c r="D30" s="18" t="n">
        <v>12575428.06</v>
      </c>
      <c r="E30" s="17" t="n">
        <f aca="false">D30/10000000</f>
        <v>1.257542806</v>
      </c>
      <c r="F30" s="34" t="n">
        <f aca="false">D30/D98</f>
        <v>0.00931375242704158</v>
      </c>
      <c r="G30" s="26" t="n">
        <f aca="false">SUM(F$5:F30)</f>
        <v>0.86246842873957</v>
      </c>
      <c r="H30" s="20" t="n">
        <v>4887</v>
      </c>
      <c r="I30" s="22" t="n">
        <f aca="false">D30/H30</f>
        <v>2573.24085533047</v>
      </c>
      <c r="J30" s="20" t="n">
        <v>1000</v>
      </c>
      <c r="K30" s="20" t="n">
        <v>100</v>
      </c>
      <c r="L30" s="22" t="n">
        <f aca="false">D30/K30</f>
        <v>125754.2806</v>
      </c>
    </row>
    <row r="31" customFormat="false" ht="15" hidden="false" customHeight="false" outlineLevel="0" collapsed="false">
      <c r="A31" s="32" t="n">
        <v>27</v>
      </c>
      <c r="B31" s="25" t="s">
        <v>103</v>
      </c>
      <c r="C31" s="25" t="s">
        <v>165</v>
      </c>
      <c r="D31" s="18" t="n">
        <v>12298894.41</v>
      </c>
      <c r="E31" s="17" t="n">
        <f aca="false">D31/10000000</f>
        <v>1.229889441</v>
      </c>
      <c r="F31" s="34" t="n">
        <f aca="false">D31/D98</f>
        <v>0.00910894302082832</v>
      </c>
      <c r="G31" s="26" t="n">
        <f aca="false">SUM(F$5:F31)</f>
        <v>0.871577371760398</v>
      </c>
      <c r="H31" s="20" t="n">
        <v>9117</v>
      </c>
      <c r="I31" s="22" t="n">
        <f aca="false">D31/H31</f>
        <v>1349.00673576835</v>
      </c>
      <c r="J31" s="20" t="n">
        <v>2243</v>
      </c>
      <c r="K31" s="20" t="n">
        <v>379</v>
      </c>
      <c r="L31" s="22" t="n">
        <f aca="false">D31/K31</f>
        <v>32450.9087335092</v>
      </c>
    </row>
    <row r="32" customFormat="false" ht="15" hidden="false" customHeight="false" outlineLevel="0" collapsed="false">
      <c r="A32" s="32" t="n">
        <v>28</v>
      </c>
      <c r="B32" s="25" t="s">
        <v>105</v>
      </c>
      <c r="C32" s="25" t="s">
        <v>166</v>
      </c>
      <c r="D32" s="18" t="n">
        <v>11715821.19</v>
      </c>
      <c r="E32" s="17" t="n">
        <f aca="false">D32/10000000</f>
        <v>1.171582119</v>
      </c>
      <c r="F32" s="34" t="n">
        <f aca="false">D32/D98</f>
        <v>0.0086771008925121</v>
      </c>
      <c r="G32" s="26" t="n">
        <f aca="false">SUM(F$5:F32)</f>
        <v>0.88025447265291</v>
      </c>
      <c r="H32" s="20" t="n">
        <v>4025</v>
      </c>
      <c r="I32" s="22" t="n">
        <f aca="false">D32/H32</f>
        <v>2910.76302857143</v>
      </c>
      <c r="J32" s="20" t="n">
        <v>360</v>
      </c>
      <c r="K32" s="20" t="n">
        <v>13</v>
      </c>
      <c r="L32" s="22" t="n">
        <f aca="false">D32/K32</f>
        <v>901217.014615385</v>
      </c>
    </row>
    <row r="33" customFormat="false" ht="15" hidden="false" customHeight="false" outlineLevel="0" collapsed="false">
      <c r="A33" s="32" t="n">
        <v>29</v>
      </c>
      <c r="B33" s="25" t="s">
        <v>106</v>
      </c>
      <c r="C33" s="25" t="s">
        <v>167</v>
      </c>
      <c r="D33" s="18" t="n">
        <v>10970205.25</v>
      </c>
      <c r="E33" s="17" t="n">
        <f aca="false">D33/10000000</f>
        <v>1.097020525</v>
      </c>
      <c r="F33" s="34" t="n">
        <f aca="false">D33/D98</f>
        <v>0.00812487457960392</v>
      </c>
      <c r="G33" s="26" t="n">
        <f aca="false">SUM(F$5:F33)</f>
        <v>0.888379347232514</v>
      </c>
      <c r="H33" s="20" t="n">
        <v>3794</v>
      </c>
      <c r="I33" s="22" t="n">
        <f aca="false">D33/H33</f>
        <v>2891.46158408013</v>
      </c>
      <c r="J33" s="20" t="n">
        <v>450</v>
      </c>
      <c r="K33" s="20" t="n">
        <v>16</v>
      </c>
      <c r="L33" s="22" t="n">
        <f aca="false">D33/K33</f>
        <v>685637.828125</v>
      </c>
    </row>
    <row r="34" customFormat="false" ht="15" hidden="false" customHeight="false" outlineLevel="0" collapsed="false">
      <c r="A34" s="32" t="n">
        <v>30</v>
      </c>
      <c r="B34" s="25" t="s">
        <v>104</v>
      </c>
      <c r="C34" s="25" t="s">
        <v>168</v>
      </c>
      <c r="D34" s="18" t="n">
        <v>10834508.32</v>
      </c>
      <c r="E34" s="17" t="n">
        <f aca="false">D34/10000000</f>
        <v>1.083450832</v>
      </c>
      <c r="F34" s="34" t="n">
        <f aca="false">D34/D98</f>
        <v>0.00802437322051701</v>
      </c>
      <c r="G34" s="26" t="n">
        <f aca="false">SUM(F$5:F34)</f>
        <v>0.896403720453031</v>
      </c>
      <c r="H34" s="20" t="n">
        <v>2366</v>
      </c>
      <c r="I34" s="22" t="n">
        <f aca="false">D34/H34</f>
        <v>4579.25119188504</v>
      </c>
      <c r="J34" s="20" t="n">
        <v>745</v>
      </c>
      <c r="K34" s="20" t="n">
        <v>175</v>
      </c>
      <c r="L34" s="22" t="n">
        <f aca="false">D34/K34</f>
        <v>61911.4761142857</v>
      </c>
    </row>
    <row r="35" customFormat="false" ht="15" hidden="false" customHeight="false" outlineLevel="0" collapsed="false">
      <c r="A35" s="32" t="n">
        <v>31</v>
      </c>
      <c r="B35" s="25" t="s">
        <v>103</v>
      </c>
      <c r="C35" s="25" t="s">
        <v>169</v>
      </c>
      <c r="D35" s="18" t="n">
        <v>9970404.89</v>
      </c>
      <c r="E35" s="17" t="n">
        <f aca="false">D35/10000000</f>
        <v>0.997040489</v>
      </c>
      <c r="F35" s="34" t="n">
        <f aca="false">D35/D98</f>
        <v>0.00738439139405524</v>
      </c>
      <c r="G35" s="26" t="n">
        <f aca="false">SUM(F$5:F35)</f>
        <v>0.903788111847086</v>
      </c>
      <c r="H35" s="20" t="n">
        <v>4788</v>
      </c>
      <c r="I35" s="22" t="n">
        <f aca="false">D35/H35</f>
        <v>2082.37361946533</v>
      </c>
      <c r="J35" s="20" t="n">
        <v>1612</v>
      </c>
      <c r="K35" s="20" t="n">
        <v>230</v>
      </c>
      <c r="L35" s="22" t="n">
        <f aca="false">D35/K35</f>
        <v>43349.5864782609</v>
      </c>
    </row>
    <row r="36" customFormat="false" ht="15" hidden="false" customHeight="false" outlineLevel="0" collapsed="false">
      <c r="A36" s="32" t="n">
        <v>32</v>
      </c>
      <c r="B36" s="25" t="s">
        <v>103</v>
      </c>
      <c r="C36" s="25" t="s">
        <v>170</v>
      </c>
      <c r="D36" s="18" t="n">
        <v>9916578.19</v>
      </c>
      <c r="E36" s="17" t="n">
        <f aca="false">D36/10000000</f>
        <v>0.991657819</v>
      </c>
      <c r="F36" s="34" t="n">
        <f aca="false">D36/D98</f>
        <v>0.00734452566897831</v>
      </c>
      <c r="G36" s="26" t="n">
        <f aca="false">SUM(F$5:F36)</f>
        <v>0.911132637516065</v>
      </c>
      <c r="H36" s="20" t="n">
        <v>3247</v>
      </c>
      <c r="I36" s="22" t="n">
        <f aca="false">D36/H36</f>
        <v>3054.07397289806</v>
      </c>
      <c r="J36" s="20" t="n">
        <v>1288</v>
      </c>
      <c r="K36" s="20" t="n">
        <v>299</v>
      </c>
      <c r="L36" s="22" t="n">
        <f aca="false">D36/K36</f>
        <v>33165.8133444816</v>
      </c>
    </row>
    <row r="37" customFormat="false" ht="15" hidden="false" customHeight="false" outlineLevel="0" collapsed="false">
      <c r="A37" s="32" t="n">
        <v>33</v>
      </c>
      <c r="B37" s="25" t="s">
        <v>104</v>
      </c>
      <c r="C37" s="25" t="s">
        <v>171</v>
      </c>
      <c r="D37" s="18" t="n">
        <v>9376921.8</v>
      </c>
      <c r="E37" s="17" t="n">
        <f aca="false">D37/10000000</f>
        <v>0.93769218</v>
      </c>
      <c r="F37" s="34" t="n">
        <f aca="false">D37/D98</f>
        <v>0.00694483939284124</v>
      </c>
      <c r="G37" s="26" t="n">
        <f aca="false">SUM(F$5:F37)</f>
        <v>0.918077476908906</v>
      </c>
      <c r="H37" s="20" t="n">
        <v>3192</v>
      </c>
      <c r="I37" s="22" t="n">
        <f aca="false">D37/H37</f>
        <v>2937.63214285714</v>
      </c>
      <c r="J37" s="20" t="n">
        <v>1056</v>
      </c>
      <c r="K37" s="20" t="n">
        <v>229</v>
      </c>
      <c r="L37" s="22" t="n">
        <f aca="false">D37/K37</f>
        <v>40947.256768559</v>
      </c>
    </row>
    <row r="38" customFormat="false" ht="15" hidden="false" customHeight="false" outlineLevel="0" collapsed="false">
      <c r="A38" s="32" t="n">
        <v>34</v>
      </c>
      <c r="B38" s="25" t="s">
        <v>104</v>
      </c>
      <c r="C38" s="25" t="s">
        <v>172</v>
      </c>
      <c r="D38" s="18" t="n">
        <v>8844887.59</v>
      </c>
      <c r="E38" s="17" t="n">
        <f aca="false">D38/10000000</f>
        <v>0.884488759</v>
      </c>
      <c r="F38" s="34" t="n">
        <f aca="false">D38/D98</f>
        <v>0.00655079833984375</v>
      </c>
      <c r="G38" s="26" t="n">
        <f aca="false">SUM(F$5:F38)</f>
        <v>0.92462827524875</v>
      </c>
      <c r="H38" s="20" t="n">
        <v>2215</v>
      </c>
      <c r="I38" s="22" t="n">
        <f aca="false">D38/H38</f>
        <v>3993.17724153499</v>
      </c>
      <c r="J38" s="20" t="n">
        <v>744</v>
      </c>
      <c r="K38" s="20" t="n">
        <v>123</v>
      </c>
      <c r="L38" s="22" t="n">
        <f aca="false">D38/K38</f>
        <v>71909.655203252</v>
      </c>
    </row>
    <row r="39" customFormat="false" ht="15" hidden="false" customHeight="false" outlineLevel="0" collapsed="false">
      <c r="A39" s="32" t="n">
        <v>35</v>
      </c>
      <c r="B39" s="25" t="s">
        <v>104</v>
      </c>
      <c r="C39" s="25" t="s">
        <v>173</v>
      </c>
      <c r="D39" s="18" t="n">
        <v>8779628.48</v>
      </c>
      <c r="E39" s="17" t="n">
        <f aca="false">D39/10000000</f>
        <v>0.877962848</v>
      </c>
      <c r="F39" s="34" t="n">
        <f aca="false">D39/D98</f>
        <v>0.00650246541700016</v>
      </c>
      <c r="G39" s="26" t="n">
        <f aca="false">SUM(F$5:F39)</f>
        <v>0.93113074066575</v>
      </c>
      <c r="H39" s="20" t="n">
        <v>7240</v>
      </c>
      <c r="I39" s="22" t="n">
        <f aca="false">D39/H39</f>
        <v>1212.65586740332</v>
      </c>
      <c r="J39" s="20" t="n">
        <v>1845</v>
      </c>
      <c r="K39" s="20" t="n">
        <v>79</v>
      </c>
      <c r="L39" s="22" t="n">
        <f aca="false">D39/K39</f>
        <v>111134.537721519</v>
      </c>
    </row>
    <row r="40" customFormat="false" ht="15" hidden="false" customHeight="false" outlineLevel="0" collapsed="false">
      <c r="A40" s="32" t="n">
        <v>36</v>
      </c>
      <c r="B40" s="25" t="s">
        <v>103</v>
      </c>
      <c r="C40" s="25" t="s">
        <v>174</v>
      </c>
      <c r="D40" s="18" t="n">
        <v>8531196.11</v>
      </c>
      <c r="E40" s="17" t="n">
        <f aca="false">D40/10000000</f>
        <v>0.853119611</v>
      </c>
      <c r="F40" s="34" t="n">
        <f aca="false">D40/D98</f>
        <v>0.00631846869116281</v>
      </c>
      <c r="G40" s="26" t="n">
        <f aca="false">SUM(F$5:F40)</f>
        <v>0.937449209356912</v>
      </c>
      <c r="H40" s="20" t="n">
        <v>2797</v>
      </c>
      <c r="I40" s="22" t="n">
        <f aca="false">D40/H40</f>
        <v>3050.12374329639</v>
      </c>
      <c r="J40" s="20" t="n">
        <v>1080</v>
      </c>
      <c r="K40" s="20" t="n">
        <v>270</v>
      </c>
      <c r="L40" s="22" t="n">
        <f aca="false">D40/K40</f>
        <v>31597.0226296296</v>
      </c>
    </row>
    <row r="41" customFormat="false" ht="15" hidden="false" customHeight="false" outlineLevel="0" collapsed="false">
      <c r="A41" s="32" t="n">
        <v>37</v>
      </c>
      <c r="B41" s="25" t="s">
        <v>104</v>
      </c>
      <c r="C41" s="25" t="s">
        <v>175</v>
      </c>
      <c r="D41" s="18" t="n">
        <v>7679971.91</v>
      </c>
      <c r="E41" s="17" t="n">
        <f aca="false">D41/10000000</f>
        <v>0.767997191</v>
      </c>
      <c r="F41" s="34" t="n">
        <f aca="false">D41/D98</f>
        <v>0.00568802562227641</v>
      </c>
      <c r="G41" s="26" t="n">
        <f aca="false">SUM(F$5:F41)</f>
        <v>0.943137234979189</v>
      </c>
      <c r="H41" s="20" t="n">
        <v>2092</v>
      </c>
      <c r="I41" s="22" t="n">
        <f aca="false">D41/H41</f>
        <v>3671.11467973231</v>
      </c>
      <c r="J41" s="20" t="n">
        <v>640</v>
      </c>
      <c r="K41" s="20" t="n">
        <v>146</v>
      </c>
      <c r="L41" s="22" t="n">
        <f aca="false">D41/K41</f>
        <v>52602.5473287671</v>
      </c>
    </row>
    <row r="42" customFormat="false" ht="15" hidden="false" customHeight="false" outlineLevel="0" collapsed="false">
      <c r="A42" s="32" t="n">
        <v>38</v>
      </c>
      <c r="B42" s="25" t="s">
        <v>104</v>
      </c>
      <c r="C42" s="25" t="s">
        <v>176</v>
      </c>
      <c r="D42" s="18" t="n">
        <v>7585273.03</v>
      </c>
      <c r="E42" s="17" t="n">
        <f aca="false">D42/10000000</f>
        <v>0.758527303</v>
      </c>
      <c r="F42" s="34" t="n">
        <f aca="false">D42/D98</f>
        <v>0.00561788869180932</v>
      </c>
      <c r="G42" s="26" t="n">
        <f aca="false">SUM(F$5:F42)</f>
        <v>0.948755123670998</v>
      </c>
      <c r="H42" s="20" t="n">
        <v>1710</v>
      </c>
      <c r="I42" s="22" t="n">
        <f aca="false">D42/H42</f>
        <v>4435.83218128655</v>
      </c>
      <c r="J42" s="20" t="n">
        <v>401</v>
      </c>
      <c r="K42" s="20" t="n">
        <v>75</v>
      </c>
      <c r="L42" s="22" t="n">
        <f aca="false">D42/K42</f>
        <v>101136.973733333</v>
      </c>
    </row>
    <row r="43" customFormat="false" ht="15" hidden="false" customHeight="false" outlineLevel="0" collapsed="false">
      <c r="A43" s="32" t="n">
        <v>39</v>
      </c>
      <c r="B43" s="25" t="s">
        <v>104</v>
      </c>
      <c r="C43" s="25" t="s">
        <v>177</v>
      </c>
      <c r="D43" s="18" t="n">
        <v>7221949.57</v>
      </c>
      <c r="E43" s="17" t="n">
        <f aca="false">D43/10000000</f>
        <v>0.722194957</v>
      </c>
      <c r="F43" s="34" t="n">
        <f aca="false">D43/D98</f>
        <v>0.00534880005790908</v>
      </c>
      <c r="G43" s="26" t="n">
        <f aca="false">SUM(F$5:F43)</f>
        <v>0.954103923728907</v>
      </c>
      <c r="H43" s="20" t="n">
        <v>13259</v>
      </c>
      <c r="I43" s="22" t="n">
        <f aca="false">D43/H43</f>
        <v>544.682824496568</v>
      </c>
      <c r="J43" s="20" t="n">
        <v>1275</v>
      </c>
      <c r="K43" s="20" t="n">
        <v>76</v>
      </c>
      <c r="L43" s="22" t="n">
        <f aca="false">D43/K43</f>
        <v>95025.6522368421</v>
      </c>
    </row>
    <row r="44" customFormat="false" ht="15" hidden="false" customHeight="false" outlineLevel="0" collapsed="false">
      <c r="A44" s="32" t="n">
        <v>40</v>
      </c>
      <c r="B44" s="25" t="s">
        <v>103</v>
      </c>
      <c r="C44" s="25" t="s">
        <v>178</v>
      </c>
      <c r="D44" s="18" t="n">
        <v>6812786.43</v>
      </c>
      <c r="E44" s="17" t="n">
        <f aca="false">D44/10000000</f>
        <v>0.681278643</v>
      </c>
      <c r="F44" s="34" t="n">
        <f aca="false">D44/D98</f>
        <v>0.00504576113390199</v>
      </c>
      <c r="G44" s="26" t="n">
        <f aca="false">SUM(F$5:F44)</f>
        <v>0.959149684862809</v>
      </c>
      <c r="H44" s="20" t="n">
        <v>3977</v>
      </c>
      <c r="I44" s="22" t="n">
        <f aca="false">D44/H44</f>
        <v>1713.04662559718</v>
      </c>
      <c r="J44" s="20" t="n">
        <v>840</v>
      </c>
      <c r="K44" s="20" t="n">
        <v>183</v>
      </c>
      <c r="L44" s="22" t="n">
        <f aca="false">D44/K44</f>
        <v>37228.341147541</v>
      </c>
    </row>
    <row r="45" customFormat="false" ht="15" hidden="false" customHeight="false" outlineLevel="0" collapsed="false">
      <c r="A45" s="32" t="n">
        <v>41</v>
      </c>
      <c r="B45" s="25" t="s">
        <v>103</v>
      </c>
      <c r="C45" s="25" t="s">
        <v>179</v>
      </c>
      <c r="D45" s="18" t="n">
        <v>6755544.76</v>
      </c>
      <c r="E45" s="17" t="n">
        <f aca="false">D45/10000000</f>
        <v>0.675554476</v>
      </c>
      <c r="F45" s="34" t="n">
        <f aca="false">D45/D98</f>
        <v>0.00500336617602487</v>
      </c>
      <c r="G45" s="26" t="n">
        <f aca="false">SUM(F$5:F45)</f>
        <v>0.964153051038834</v>
      </c>
      <c r="H45" s="20" t="n">
        <v>2875</v>
      </c>
      <c r="I45" s="22" t="n">
        <f aca="false">D45/H45</f>
        <v>2349.75469913044</v>
      </c>
      <c r="J45" s="20" t="n">
        <v>712</v>
      </c>
      <c r="K45" s="20" t="n">
        <v>60</v>
      </c>
      <c r="L45" s="22" t="n">
        <f aca="false">D45/K45</f>
        <v>112592.412666667</v>
      </c>
    </row>
    <row r="46" customFormat="false" ht="15" hidden="false" customHeight="false" outlineLevel="0" collapsed="false">
      <c r="A46" s="32" t="n">
        <v>42</v>
      </c>
      <c r="B46" s="25" t="s">
        <v>106</v>
      </c>
      <c r="C46" s="25" t="s">
        <v>180</v>
      </c>
      <c r="D46" s="18" t="n">
        <v>6210839.69</v>
      </c>
      <c r="E46" s="17" t="n">
        <f aca="false">D46/10000000</f>
        <v>0.621083969</v>
      </c>
      <c r="F46" s="34" t="n">
        <f aca="false">D46/D98</f>
        <v>0.00459994069074287</v>
      </c>
      <c r="G46" s="26" t="n">
        <f aca="false">SUM(F$5:F46)</f>
        <v>0.968752991729577</v>
      </c>
      <c r="H46" s="20" t="n">
        <v>1790</v>
      </c>
      <c r="I46" s="22" t="n">
        <f aca="false">D46/H46</f>
        <v>3469.74284357542</v>
      </c>
      <c r="J46" s="20" t="n">
        <v>597</v>
      </c>
      <c r="K46" s="20" t="n">
        <v>76</v>
      </c>
      <c r="L46" s="22" t="n">
        <f aca="false">D46/K46</f>
        <v>81721.5748684211</v>
      </c>
    </row>
    <row r="47" customFormat="false" ht="15" hidden="false" customHeight="false" outlineLevel="0" collapsed="false">
      <c r="A47" s="32" t="n">
        <v>43</v>
      </c>
      <c r="B47" s="25" t="s">
        <v>103</v>
      </c>
      <c r="C47" s="25" t="s">
        <v>181</v>
      </c>
      <c r="D47" s="18" t="n">
        <v>5841880.7</v>
      </c>
      <c r="E47" s="17" t="n">
        <f aca="false">D47/10000000</f>
        <v>0.58418807</v>
      </c>
      <c r="F47" s="34" t="n">
        <f aca="false">D47/D98</f>
        <v>0.00432667820836887</v>
      </c>
      <c r="G47" s="26" t="n">
        <f aca="false">SUM(F$5:F47)</f>
        <v>0.973079669937946</v>
      </c>
      <c r="H47" s="20" t="n">
        <v>2239</v>
      </c>
      <c r="I47" s="22" t="n">
        <f aca="false">D47/H47</f>
        <v>2609.14725323805</v>
      </c>
      <c r="J47" s="20" t="n">
        <v>798</v>
      </c>
      <c r="K47" s="20" t="n">
        <v>259</v>
      </c>
      <c r="L47" s="22" t="n">
        <f aca="false">D47/K47</f>
        <v>22555.5239382239</v>
      </c>
    </row>
    <row r="48" customFormat="false" ht="15" hidden="false" customHeight="false" outlineLevel="0" collapsed="false">
      <c r="A48" s="32" t="n">
        <v>44</v>
      </c>
      <c r="B48" s="25" t="s">
        <v>104</v>
      </c>
      <c r="C48" s="25" t="s">
        <v>182</v>
      </c>
      <c r="D48" s="18" t="n">
        <v>4384338.61</v>
      </c>
      <c r="E48" s="17" t="n">
        <f aca="false">D48/10000000</f>
        <v>0.438433861</v>
      </c>
      <c r="F48" s="34" t="n">
        <f aca="false">D48/D98</f>
        <v>0.00324717728693043</v>
      </c>
      <c r="G48" s="26" t="n">
        <f aca="false">SUM(F$5:F48)</f>
        <v>0.976326847224876</v>
      </c>
      <c r="H48" s="20" t="n">
        <v>1104</v>
      </c>
      <c r="I48" s="22" t="n">
        <f aca="false">D48/H48</f>
        <v>3971.32120471015</v>
      </c>
      <c r="J48" s="20" t="n">
        <v>347</v>
      </c>
      <c r="K48" s="20" t="n">
        <v>85</v>
      </c>
      <c r="L48" s="22" t="n">
        <f aca="false">D48/K48</f>
        <v>51580.4542352941</v>
      </c>
    </row>
    <row r="49" customFormat="false" ht="15" hidden="false" customHeight="false" outlineLevel="0" collapsed="false">
      <c r="A49" s="32" t="n">
        <v>45</v>
      </c>
      <c r="B49" s="25" t="s">
        <v>102</v>
      </c>
      <c r="C49" s="25" t="s">
        <v>183</v>
      </c>
      <c r="D49" s="18" t="n">
        <v>3926598.88</v>
      </c>
      <c r="E49" s="17" t="n">
        <f aca="false">D49/10000000</f>
        <v>0.392659888</v>
      </c>
      <c r="F49" s="34" t="n">
        <f aca="false">D49/D98</f>
        <v>0.00290816103230277</v>
      </c>
      <c r="G49" s="26" t="n">
        <f aca="false">SUM(F$5:F49)</f>
        <v>0.979235008257179</v>
      </c>
      <c r="H49" s="20" t="n">
        <v>1765</v>
      </c>
      <c r="I49" s="22" t="n">
        <f aca="false">D49/H49</f>
        <v>2224.70191501416</v>
      </c>
      <c r="J49" s="20" t="n">
        <v>608</v>
      </c>
      <c r="K49" s="20" t="n">
        <v>151</v>
      </c>
      <c r="L49" s="22" t="n">
        <f aca="false">D49/K49</f>
        <v>26003.9660927152</v>
      </c>
    </row>
    <row r="50" customFormat="false" ht="15" hidden="false" customHeight="false" outlineLevel="0" collapsed="false">
      <c r="A50" s="32" t="n">
        <v>46</v>
      </c>
      <c r="B50" s="25" t="s">
        <v>106</v>
      </c>
      <c r="C50" s="25" t="s">
        <v>184</v>
      </c>
      <c r="D50" s="18" t="n">
        <v>3056259.21</v>
      </c>
      <c r="E50" s="17" t="n">
        <f aca="false">D50/10000000</f>
        <v>0.305625921</v>
      </c>
      <c r="F50" s="34" t="n">
        <f aca="false">D50/D98</f>
        <v>0.00226356045289211</v>
      </c>
      <c r="G50" s="26" t="n">
        <f aca="false">SUM(F$5:F50)</f>
        <v>0.981498568710071</v>
      </c>
      <c r="H50" s="20" t="n">
        <v>626</v>
      </c>
      <c r="I50" s="22" t="n">
        <f aca="false">D50/H50</f>
        <v>4882.20321086262</v>
      </c>
      <c r="J50" s="20" t="n">
        <v>180</v>
      </c>
      <c r="K50" s="20" t="n">
        <v>40</v>
      </c>
      <c r="L50" s="22" t="n">
        <f aca="false">D50/K50</f>
        <v>76406.48025</v>
      </c>
    </row>
    <row r="51" customFormat="false" ht="15" hidden="false" customHeight="false" outlineLevel="0" collapsed="false">
      <c r="A51" s="32" t="n">
        <v>47</v>
      </c>
      <c r="B51" s="25" t="s">
        <v>102</v>
      </c>
      <c r="C51" s="25" t="s">
        <v>185</v>
      </c>
      <c r="D51" s="18" t="n">
        <v>2384255.5</v>
      </c>
      <c r="E51" s="17" t="n">
        <f aca="false">D51/10000000</f>
        <v>0.23842555</v>
      </c>
      <c r="F51" s="34" t="n">
        <f aca="false">D51/D98</f>
        <v>0.00176585364282321</v>
      </c>
      <c r="G51" s="26" t="n">
        <f aca="false">SUM(F$5:F51)</f>
        <v>0.983264422352895</v>
      </c>
      <c r="H51" s="20" t="n">
        <v>1597</v>
      </c>
      <c r="I51" s="22" t="n">
        <f aca="false">D51/H51</f>
        <v>1492.958985598</v>
      </c>
      <c r="J51" s="20" t="n">
        <v>462</v>
      </c>
      <c r="K51" s="20" t="n">
        <v>104</v>
      </c>
      <c r="L51" s="22" t="n">
        <f aca="false">D51/K51</f>
        <v>22925.5336538462</v>
      </c>
    </row>
    <row r="52" customFormat="false" ht="15" hidden="false" customHeight="false" outlineLevel="0" collapsed="false">
      <c r="A52" s="32" t="n">
        <v>48</v>
      </c>
      <c r="B52" s="25" t="s">
        <v>104</v>
      </c>
      <c r="C52" s="25" t="s">
        <v>186</v>
      </c>
      <c r="D52" s="18" t="n">
        <v>2120319.47</v>
      </c>
      <c r="E52" s="17" t="n">
        <f aca="false">D52/10000000</f>
        <v>0.212031947</v>
      </c>
      <c r="F52" s="34" t="n">
        <f aca="false">D52/D98</f>
        <v>0.00157037442507671</v>
      </c>
      <c r="G52" s="26" t="n">
        <f aca="false">SUM(F$5:F52)</f>
        <v>0.984834796777971</v>
      </c>
      <c r="H52" s="20" t="n">
        <v>447</v>
      </c>
      <c r="I52" s="22" t="n">
        <f aca="false">D52/H52</f>
        <v>4743.44400447427</v>
      </c>
      <c r="J52" s="20" t="n">
        <v>147</v>
      </c>
      <c r="K52" s="20" t="n">
        <v>24</v>
      </c>
      <c r="L52" s="22" t="n">
        <f aca="false">D52/K52</f>
        <v>88346.6445833333</v>
      </c>
    </row>
    <row r="53" customFormat="false" ht="15" hidden="false" customHeight="false" outlineLevel="0" collapsed="false">
      <c r="A53" s="32" t="n">
        <v>49</v>
      </c>
      <c r="B53" s="25" t="s">
        <v>106</v>
      </c>
      <c r="C53" s="25" t="s">
        <v>187</v>
      </c>
      <c r="D53" s="18" t="n">
        <v>2083217.4</v>
      </c>
      <c r="E53" s="17" t="n">
        <f aca="false">D53/10000000</f>
        <v>0.20832174</v>
      </c>
      <c r="F53" s="34" t="n">
        <f aca="false">D53/D98</f>
        <v>0.0015428954801961</v>
      </c>
      <c r="G53" s="26" t="n">
        <f aca="false">SUM(F$5:F53)</f>
        <v>0.986377692258167</v>
      </c>
      <c r="H53" s="20" t="n">
        <v>528</v>
      </c>
      <c r="I53" s="22" t="n">
        <f aca="false">D53/H53</f>
        <v>3945.4875</v>
      </c>
      <c r="J53" s="20" t="n">
        <v>77</v>
      </c>
      <c r="K53" s="20" t="n">
        <v>2</v>
      </c>
      <c r="L53" s="22" t="n">
        <f aca="false">D53/K53</f>
        <v>1041608.7</v>
      </c>
    </row>
    <row r="54" customFormat="false" ht="15" hidden="false" customHeight="false" outlineLevel="0" collapsed="false">
      <c r="A54" s="32" t="n">
        <v>50</v>
      </c>
      <c r="B54" s="25" t="s">
        <v>105</v>
      </c>
      <c r="C54" s="25" t="s">
        <v>188</v>
      </c>
      <c r="D54" s="18" t="n">
        <v>1569513.06</v>
      </c>
      <c r="E54" s="17" t="n">
        <f aca="false">D54/10000000</f>
        <v>0.156951306</v>
      </c>
      <c r="F54" s="34" t="n">
        <f aca="false">D54/D98</f>
        <v>0.00116243009797382</v>
      </c>
      <c r="G54" s="26" t="n">
        <f aca="false">SUM(F$5:F54)</f>
        <v>0.987540122356141</v>
      </c>
      <c r="H54" s="20" t="n">
        <v>448</v>
      </c>
      <c r="I54" s="22" t="n">
        <f aca="false">D54/H54</f>
        <v>3503.37736607143</v>
      </c>
      <c r="J54" s="20" t="n">
        <v>138</v>
      </c>
      <c r="K54" s="20" t="n">
        <v>3</v>
      </c>
      <c r="L54" s="22" t="n">
        <f aca="false">D54/K54</f>
        <v>523171.02</v>
      </c>
    </row>
    <row r="55" customFormat="false" ht="15" hidden="false" customHeight="false" outlineLevel="0" collapsed="false">
      <c r="A55" s="32" t="n">
        <v>51</v>
      </c>
      <c r="B55" s="25" t="s">
        <v>106</v>
      </c>
      <c r="C55" s="25" t="s">
        <v>189</v>
      </c>
      <c r="D55" s="18" t="n">
        <v>1476502.9</v>
      </c>
      <c r="E55" s="17" t="n">
        <f aca="false">D55/10000000</f>
        <v>0.14765029</v>
      </c>
      <c r="F55" s="34" t="n">
        <f aca="false">D55/D98</f>
        <v>0.00109354388596526</v>
      </c>
      <c r="G55" s="26" t="n">
        <f aca="false">SUM(F$5:F55)</f>
        <v>0.988633666242106</v>
      </c>
      <c r="H55" s="20" t="n">
        <v>279</v>
      </c>
      <c r="I55" s="22" t="n">
        <f aca="false">D55/H55</f>
        <v>5292.12508960573</v>
      </c>
      <c r="J55" s="20" t="n">
        <v>82</v>
      </c>
      <c r="K55" s="20" t="n">
        <v>19</v>
      </c>
      <c r="L55" s="22" t="n">
        <f aca="false">D55/K55</f>
        <v>77710.6789473684</v>
      </c>
    </row>
    <row r="56" customFormat="false" ht="15" hidden="false" customHeight="false" outlineLevel="0" collapsed="false">
      <c r="A56" s="32" t="n">
        <v>52</v>
      </c>
      <c r="B56" s="25" t="s">
        <v>106</v>
      </c>
      <c r="C56" s="25" t="s">
        <v>190</v>
      </c>
      <c r="D56" s="18" t="n">
        <v>1403582.27</v>
      </c>
      <c r="E56" s="17" t="n">
        <f aca="false">D56/10000000</f>
        <v>0.140358227</v>
      </c>
      <c r="F56" s="34" t="n">
        <f aca="false">D56/D98</f>
        <v>0.00103953660355678</v>
      </c>
      <c r="G56" s="26" t="n">
        <f aca="false">SUM(F$5:F56)</f>
        <v>0.989673202845663</v>
      </c>
      <c r="H56" s="20" t="n">
        <v>245</v>
      </c>
      <c r="I56" s="22" t="n">
        <f aca="false">D56/H56</f>
        <v>5728.9072244898</v>
      </c>
      <c r="J56" s="20" t="n">
        <v>76</v>
      </c>
      <c r="K56" s="20" t="n">
        <v>21</v>
      </c>
      <c r="L56" s="22" t="n">
        <f aca="false">D56/K56</f>
        <v>66837.250952381</v>
      </c>
    </row>
    <row r="57" customFormat="false" ht="15" hidden="false" customHeight="false" outlineLevel="0" collapsed="false">
      <c r="A57" s="32" t="n">
        <v>53</v>
      </c>
      <c r="B57" s="25" t="s">
        <v>105</v>
      </c>
      <c r="C57" s="25" t="s">
        <v>191</v>
      </c>
      <c r="D57" s="18" t="n">
        <v>1349378.02</v>
      </c>
      <c r="E57" s="17" t="n">
        <f aca="false">D57/10000000</f>
        <v>0.134937802</v>
      </c>
      <c r="F57" s="34" t="n">
        <f aca="false">D57/D98</f>
        <v>0.000999391253228764</v>
      </c>
      <c r="G57" s="26" t="n">
        <f aca="false">SUM(F$5:F57)</f>
        <v>0.990672594098892</v>
      </c>
      <c r="H57" s="20" t="n">
        <v>582</v>
      </c>
      <c r="I57" s="22" t="n">
        <f aca="false">D57/H57</f>
        <v>2318.5189347079</v>
      </c>
      <c r="J57" s="20" t="n">
        <v>158</v>
      </c>
      <c r="K57" s="20" t="n">
        <v>7</v>
      </c>
      <c r="L57" s="22" t="n">
        <f aca="false">D57/K57</f>
        <v>192768.288571429</v>
      </c>
    </row>
    <row r="58" customFormat="false" ht="15" hidden="false" customHeight="false" outlineLevel="0" collapsed="false">
      <c r="A58" s="32" t="n">
        <v>54</v>
      </c>
      <c r="B58" s="25" t="s">
        <v>106</v>
      </c>
      <c r="C58" s="25" t="s">
        <v>192</v>
      </c>
      <c r="D58" s="18" t="n">
        <v>1211099.39</v>
      </c>
      <c r="E58" s="17" t="n">
        <f aca="false">D58/10000000</f>
        <v>0.121109939</v>
      </c>
      <c r="F58" s="34" t="n">
        <f aca="false">D58/D98</f>
        <v>0.000896977806972646</v>
      </c>
      <c r="G58" s="26" t="n">
        <f aca="false">SUM(F$5:F58)</f>
        <v>0.991569571905865</v>
      </c>
      <c r="H58" s="20" t="n">
        <v>2685</v>
      </c>
      <c r="I58" s="22" t="n">
        <f aca="false">D58/H58</f>
        <v>451.061225325885</v>
      </c>
      <c r="J58" s="20" t="n">
        <v>164</v>
      </c>
      <c r="K58" s="20" t="n">
        <v>3</v>
      </c>
      <c r="L58" s="22" t="n">
        <f aca="false">D58/K58</f>
        <v>403699.796666667</v>
      </c>
    </row>
    <row r="59" customFormat="false" ht="15" hidden="false" customHeight="false" outlineLevel="0" collapsed="false">
      <c r="A59" s="32" t="n">
        <v>55</v>
      </c>
      <c r="B59" s="25" t="s">
        <v>106</v>
      </c>
      <c r="C59" s="25" t="s">
        <v>193</v>
      </c>
      <c r="D59" s="18" t="n">
        <v>1159496.3</v>
      </c>
      <c r="E59" s="17" t="n">
        <f aca="false">D59/10000000</f>
        <v>0.11594963</v>
      </c>
      <c r="F59" s="34" t="n">
        <f aca="false">D59/D98</f>
        <v>0.000858758956493982</v>
      </c>
      <c r="G59" s="26" t="n">
        <f aca="false">SUM(F$5:F59)</f>
        <v>0.992428330862359</v>
      </c>
      <c r="H59" s="20" t="n">
        <v>243</v>
      </c>
      <c r="I59" s="22" t="n">
        <f aca="false">D59/H59</f>
        <v>4771.58971193416</v>
      </c>
      <c r="J59" s="20" t="n">
        <v>71</v>
      </c>
      <c r="K59" s="20" t="n">
        <v>25</v>
      </c>
      <c r="L59" s="22" t="n">
        <f aca="false">D59/K59</f>
        <v>46379.852</v>
      </c>
    </row>
    <row r="60" customFormat="false" ht="15" hidden="false" customHeight="false" outlineLevel="0" collapsed="false">
      <c r="A60" s="32" t="n">
        <v>56</v>
      </c>
      <c r="B60" s="25" t="s">
        <v>104</v>
      </c>
      <c r="C60" s="25" t="s">
        <v>194</v>
      </c>
      <c r="D60" s="18" t="n">
        <v>973216.94</v>
      </c>
      <c r="E60" s="17" t="n">
        <f aca="false">D60/10000000</f>
        <v>0.097321694</v>
      </c>
      <c r="F60" s="34" t="n">
        <f aca="false">D60/D98</f>
        <v>0.000720794679410936</v>
      </c>
      <c r="G60" s="26" t="n">
        <f aca="false">SUM(F$5:F60)</f>
        <v>0.993149125541769</v>
      </c>
      <c r="H60" s="20" t="n">
        <v>407</v>
      </c>
      <c r="I60" s="22" t="n">
        <f aca="false">D60/H60</f>
        <v>2391.19641277641</v>
      </c>
      <c r="J60" s="20" t="n">
        <v>135</v>
      </c>
      <c r="K60" s="20" t="n">
        <v>26</v>
      </c>
      <c r="L60" s="22" t="n">
        <f aca="false">D60/K60</f>
        <v>37431.4207692308</v>
      </c>
    </row>
    <row r="61" customFormat="false" ht="15" hidden="false" customHeight="false" outlineLevel="0" collapsed="false">
      <c r="A61" s="32" t="n">
        <v>57</v>
      </c>
      <c r="B61" s="25" t="s">
        <v>104</v>
      </c>
      <c r="C61" s="25" t="s">
        <v>195</v>
      </c>
      <c r="D61" s="18" t="n">
        <v>911167.32</v>
      </c>
      <c r="E61" s="17" t="n">
        <f aca="false">D61/10000000</f>
        <v>0.091116732</v>
      </c>
      <c r="F61" s="34" t="n">
        <f aca="false">D61/D98</f>
        <v>0.000674838804500383</v>
      </c>
      <c r="G61" s="26" t="n">
        <f aca="false">SUM(F$5:F61)</f>
        <v>0.99382396434627</v>
      </c>
      <c r="H61" s="20" t="n">
        <v>273</v>
      </c>
      <c r="I61" s="22" t="n">
        <f aca="false">D61/H61</f>
        <v>3337.60923076923</v>
      </c>
      <c r="J61" s="20" t="n">
        <v>105</v>
      </c>
      <c r="K61" s="20" t="n">
        <v>30</v>
      </c>
      <c r="L61" s="22" t="n">
        <f aca="false">D61/K61</f>
        <v>30372.244</v>
      </c>
    </row>
    <row r="62" customFormat="false" ht="15" hidden="false" customHeight="false" outlineLevel="0" collapsed="false">
      <c r="A62" s="32" t="n">
        <v>58</v>
      </c>
      <c r="B62" s="25" t="s">
        <v>106</v>
      </c>
      <c r="C62" s="25" t="s">
        <v>196</v>
      </c>
      <c r="D62" s="18" t="n">
        <v>817318.15</v>
      </c>
      <c r="E62" s="17" t="n">
        <f aca="false">D62/10000000</f>
        <v>0.081731815</v>
      </c>
      <c r="F62" s="34" t="n">
        <f aca="false">D62/D98</f>
        <v>0.000605331195638651</v>
      </c>
      <c r="G62" s="26" t="n">
        <f aca="false">SUM(F$5:F62)</f>
        <v>0.994429295541908</v>
      </c>
      <c r="H62" s="20" t="n">
        <v>191</v>
      </c>
      <c r="I62" s="22" t="n">
        <f aca="false">D62/H62</f>
        <v>4279.15261780105</v>
      </c>
      <c r="J62" s="20" t="n">
        <v>54</v>
      </c>
      <c r="K62" s="20" t="n">
        <v>12</v>
      </c>
      <c r="L62" s="22" t="n">
        <f aca="false">D62/K62</f>
        <v>68109.8458333333</v>
      </c>
    </row>
    <row r="63" customFormat="false" ht="15" hidden="false" customHeight="false" outlineLevel="0" collapsed="false">
      <c r="A63" s="32" t="n">
        <v>59</v>
      </c>
      <c r="B63" s="25" t="s">
        <v>105</v>
      </c>
      <c r="C63" s="25" t="s">
        <v>197</v>
      </c>
      <c r="D63" s="18" t="n">
        <v>722182.87</v>
      </c>
      <c r="E63" s="17" t="n">
        <f aca="false">D63/10000000</f>
        <v>0.072218287</v>
      </c>
      <c r="F63" s="34" t="n">
        <f aca="false">D63/D98</f>
        <v>0.000534871053783465</v>
      </c>
      <c r="G63" s="26" t="n">
        <f aca="false">SUM(F$5:F63)</f>
        <v>0.994964166595692</v>
      </c>
      <c r="H63" s="20" t="n">
        <v>192</v>
      </c>
      <c r="I63" s="22" t="n">
        <f aca="false">D63/H63</f>
        <v>3761.36911458333</v>
      </c>
      <c r="J63" s="20" t="n">
        <v>51</v>
      </c>
      <c r="K63" s="20" t="n">
        <v>1</v>
      </c>
      <c r="L63" s="22" t="n">
        <f aca="false">D63/K63</f>
        <v>722182.87</v>
      </c>
    </row>
    <row r="64" customFormat="false" ht="15" hidden="false" customHeight="false" outlineLevel="0" collapsed="false">
      <c r="A64" s="32" t="n">
        <v>60</v>
      </c>
      <c r="B64" s="25" t="s">
        <v>105</v>
      </c>
      <c r="C64" s="25" t="s">
        <v>198</v>
      </c>
      <c r="D64" s="18" t="n">
        <v>671265.92</v>
      </c>
      <c r="E64" s="17" t="n">
        <f aca="false">D64/10000000</f>
        <v>0.067126592</v>
      </c>
      <c r="F64" s="34" t="n">
        <f aca="false">D64/D98</f>
        <v>0.000497160379890106</v>
      </c>
      <c r="G64" s="26" t="n">
        <f aca="false">SUM(F$5:F64)</f>
        <v>0.995461326975582</v>
      </c>
      <c r="H64" s="20" t="n">
        <v>182</v>
      </c>
      <c r="I64" s="22" t="n">
        <f aca="false">D64/H64</f>
        <v>3688.27428571429</v>
      </c>
      <c r="J64" s="20" t="n">
        <v>65</v>
      </c>
      <c r="K64" s="20" t="n">
        <v>2</v>
      </c>
      <c r="L64" s="22" t="n">
        <f aca="false">D64/K64</f>
        <v>335632.96</v>
      </c>
    </row>
    <row r="65" customFormat="false" ht="15" hidden="false" customHeight="false" outlineLevel="0" collapsed="false">
      <c r="A65" s="32" t="n">
        <v>61</v>
      </c>
      <c r="B65" s="25" t="s">
        <v>104</v>
      </c>
      <c r="C65" s="25" t="s">
        <v>199</v>
      </c>
      <c r="D65" s="18" t="n">
        <v>598523.53</v>
      </c>
      <c r="E65" s="17" t="n">
        <f aca="false">D65/10000000</f>
        <v>0.059852353</v>
      </c>
      <c r="F65" s="34" t="n">
        <f aca="false">D65/D98</f>
        <v>0.000443285107559114</v>
      </c>
      <c r="G65" s="26" t="n">
        <f aca="false">SUM(F$5:F65)</f>
        <v>0.995904612083141</v>
      </c>
      <c r="H65" s="20" t="n">
        <v>191</v>
      </c>
      <c r="I65" s="22" t="n">
        <f aca="false">D65/H65</f>
        <v>3133.63104712042</v>
      </c>
      <c r="J65" s="20" t="n">
        <v>59</v>
      </c>
      <c r="K65" s="20" t="n">
        <v>9</v>
      </c>
      <c r="L65" s="22" t="n">
        <f aca="false">D65/K65</f>
        <v>66502.6144444445</v>
      </c>
    </row>
    <row r="66" customFormat="false" ht="15" hidden="false" customHeight="false" outlineLevel="0" collapsed="false">
      <c r="A66" s="32" t="n">
        <v>62</v>
      </c>
      <c r="B66" s="25" t="s">
        <v>106</v>
      </c>
      <c r="C66" s="25" t="s">
        <v>200</v>
      </c>
      <c r="D66" s="18" t="n">
        <v>503808.06</v>
      </c>
      <c r="E66" s="17" t="n">
        <f aca="false">D66/10000000</f>
        <v>0.050380806</v>
      </c>
      <c r="F66" s="34" t="n">
        <f aca="false">D66/D98</f>
        <v>0.000373135890022984</v>
      </c>
      <c r="G66" s="26" t="n">
        <f aca="false">SUM(F$5:F66)</f>
        <v>0.996277747973164</v>
      </c>
      <c r="H66" s="20" t="n">
        <v>90</v>
      </c>
      <c r="I66" s="22" t="n">
        <f aca="false">D66/H66</f>
        <v>5597.86733333333</v>
      </c>
      <c r="J66" s="20" t="n">
        <v>24</v>
      </c>
      <c r="K66" s="20" t="n">
        <v>3</v>
      </c>
      <c r="L66" s="22" t="n">
        <f aca="false">D66/K66</f>
        <v>167936.02</v>
      </c>
    </row>
    <row r="67" customFormat="false" ht="15" hidden="false" customHeight="false" outlineLevel="0" collapsed="false">
      <c r="A67" s="32" t="n">
        <v>63</v>
      </c>
      <c r="B67" s="25" t="s">
        <v>105</v>
      </c>
      <c r="C67" s="25" t="s">
        <v>201</v>
      </c>
      <c r="D67" s="18" t="n">
        <v>486649.23</v>
      </c>
      <c r="E67" s="17" t="n">
        <f aca="false">D67/10000000</f>
        <v>0.048664923</v>
      </c>
      <c r="F67" s="34" t="n">
        <f aca="false">D67/D98</f>
        <v>0.000360427527826867</v>
      </c>
      <c r="G67" s="26" t="n">
        <f aca="false">SUM(F$5:F67)</f>
        <v>0.996638175500991</v>
      </c>
      <c r="H67" s="20" t="n">
        <v>236</v>
      </c>
      <c r="I67" s="22" t="n">
        <f aca="false">D67/H67</f>
        <v>2062.07300847458</v>
      </c>
      <c r="J67" s="20" t="n">
        <v>92</v>
      </c>
      <c r="K67" s="20" t="n">
        <v>5</v>
      </c>
      <c r="L67" s="22" t="n">
        <f aca="false">D67/K67</f>
        <v>97329.846</v>
      </c>
    </row>
    <row r="68" customFormat="false" ht="15" hidden="false" customHeight="false" outlineLevel="0" collapsed="false">
      <c r="A68" s="32" t="n">
        <v>64</v>
      </c>
      <c r="B68" s="25" t="s">
        <v>102</v>
      </c>
      <c r="C68" s="25" t="s">
        <v>202</v>
      </c>
      <c r="D68" s="18" t="n">
        <v>363722.36</v>
      </c>
      <c r="E68" s="17" t="n">
        <f aca="false">D68/10000000</f>
        <v>0.036372236</v>
      </c>
      <c r="F68" s="34" t="n">
        <f aca="false">D68/D98</f>
        <v>0.000269384071624143</v>
      </c>
      <c r="G68" s="26" t="n">
        <f aca="false">SUM(F$5:F68)</f>
        <v>0.996907559572615</v>
      </c>
      <c r="H68" s="20" t="n">
        <v>543</v>
      </c>
      <c r="I68" s="22" t="n">
        <f aca="false">D68/H68</f>
        <v>669.838600368324</v>
      </c>
      <c r="J68" s="20" t="n">
        <v>243</v>
      </c>
      <c r="K68" s="20" t="n">
        <v>118</v>
      </c>
      <c r="L68" s="22" t="n">
        <f aca="false">D68/K68</f>
        <v>3082.39288135593</v>
      </c>
    </row>
    <row r="69" customFormat="false" ht="15" hidden="false" customHeight="false" outlineLevel="0" collapsed="false">
      <c r="A69" s="32" t="n">
        <v>65</v>
      </c>
      <c r="B69" s="25" t="s">
        <v>105</v>
      </c>
      <c r="C69" s="25" t="s">
        <v>203</v>
      </c>
      <c r="D69" s="18" t="n">
        <v>361155.65</v>
      </c>
      <c r="E69" s="17" t="n">
        <f aca="false">D69/10000000</f>
        <v>0.036115565</v>
      </c>
      <c r="F69" s="34" t="n">
        <f aca="false">D69/D98</f>
        <v>0.000267483086514296</v>
      </c>
      <c r="G69" s="26" t="n">
        <f aca="false">SUM(F$5:F69)</f>
        <v>0.997175042659129</v>
      </c>
      <c r="H69" s="20" t="n">
        <v>111</v>
      </c>
      <c r="I69" s="22" t="n">
        <f aca="false">D69/H69</f>
        <v>3253.6545045045</v>
      </c>
      <c r="J69" s="20" t="n">
        <v>45</v>
      </c>
      <c r="K69" s="20" t="n">
        <v>3</v>
      </c>
      <c r="L69" s="22" t="n">
        <f aca="false">D69/K69</f>
        <v>120385.216666667</v>
      </c>
    </row>
    <row r="70" customFormat="false" ht="15" hidden="false" customHeight="false" outlineLevel="0" collapsed="false">
      <c r="A70" s="32" t="n">
        <v>66</v>
      </c>
      <c r="B70" s="25" t="s">
        <v>106</v>
      </c>
      <c r="C70" s="25" t="s">
        <v>204</v>
      </c>
      <c r="D70" s="18" t="n">
        <v>239541.84</v>
      </c>
      <c r="E70" s="17" t="n">
        <f aca="false">D70/10000000</f>
        <v>0.023954184</v>
      </c>
      <c r="F70" s="34" t="n">
        <f aca="false">D70/D98</f>
        <v>0.00017741212331169</v>
      </c>
      <c r="G70" s="26" t="n">
        <f aca="false">SUM(F$5:F70)</f>
        <v>0.997352454782441</v>
      </c>
      <c r="H70" s="20" t="n">
        <v>122</v>
      </c>
      <c r="I70" s="22" t="n">
        <f aca="false">D70/H70</f>
        <v>1963.45770491803</v>
      </c>
      <c r="J70" s="20" t="n">
        <v>48</v>
      </c>
      <c r="K70" s="20" t="n">
        <v>2</v>
      </c>
      <c r="L70" s="22" t="n">
        <f aca="false">D70/K70</f>
        <v>119770.92</v>
      </c>
    </row>
    <row r="71" customFormat="false" ht="15" hidden="false" customHeight="false" outlineLevel="0" collapsed="false">
      <c r="A71" s="32" t="n">
        <v>67</v>
      </c>
      <c r="B71" s="25" t="s">
        <v>106</v>
      </c>
      <c r="C71" s="25" t="s">
        <v>205</v>
      </c>
      <c r="D71" s="18" t="n">
        <v>237793.29</v>
      </c>
      <c r="E71" s="17" t="n">
        <f aca="false">D71/10000000</f>
        <v>0.023779329</v>
      </c>
      <c r="F71" s="34" t="n">
        <f aca="false">D71/D98</f>
        <v>0.000176117092897727</v>
      </c>
      <c r="G71" s="26" t="n">
        <f aca="false">SUM(F$5:F71)</f>
        <v>0.997528571875339</v>
      </c>
      <c r="H71" s="20" t="n">
        <v>38</v>
      </c>
      <c r="I71" s="22" t="n">
        <f aca="false">D71/H71</f>
        <v>6257.71815789474</v>
      </c>
      <c r="J71" s="20" t="n">
        <v>12</v>
      </c>
      <c r="K71" s="20" t="n">
        <v>1</v>
      </c>
      <c r="L71" s="22" t="n">
        <f aca="false">D71/K71</f>
        <v>237793.29</v>
      </c>
    </row>
    <row r="72" customFormat="false" ht="15" hidden="false" customHeight="false" outlineLevel="0" collapsed="false">
      <c r="A72" s="32" t="n">
        <v>68</v>
      </c>
      <c r="B72" s="25" t="s">
        <v>106</v>
      </c>
      <c r="C72" s="25" t="s">
        <v>206</v>
      </c>
      <c r="D72" s="18" t="n">
        <v>231610.48</v>
      </c>
      <c r="E72" s="17" t="n">
        <f aca="false">D72/10000000</f>
        <v>0.023161048</v>
      </c>
      <c r="F72" s="34" t="n">
        <f aca="false">D72/D98</f>
        <v>0.000171537911865584</v>
      </c>
      <c r="G72" s="26" t="n">
        <f aca="false">SUM(F$5:F72)</f>
        <v>0.997700109787205</v>
      </c>
      <c r="H72" s="20" t="n">
        <v>53</v>
      </c>
      <c r="I72" s="22" t="n">
        <f aca="false">D72/H72</f>
        <v>4370.00905660377</v>
      </c>
      <c r="J72" s="20" t="n">
        <v>18</v>
      </c>
      <c r="K72" s="20" t="n">
        <v>1</v>
      </c>
      <c r="L72" s="22" t="n">
        <f aca="false">D72/K72</f>
        <v>231610.48</v>
      </c>
    </row>
    <row r="73" customFormat="false" ht="15" hidden="false" customHeight="false" outlineLevel="0" collapsed="false">
      <c r="A73" s="32" t="n">
        <v>69</v>
      </c>
      <c r="B73" s="25" t="s">
        <v>104</v>
      </c>
      <c r="C73" s="25" t="s">
        <v>207</v>
      </c>
      <c r="D73" s="18" t="n">
        <v>225379.81</v>
      </c>
      <c r="E73" s="17" t="n">
        <f aca="false">D73/10000000</f>
        <v>0.022537981</v>
      </c>
      <c r="F73" s="34" t="n">
        <f aca="false">D73/D98</f>
        <v>0.00016692328423162</v>
      </c>
      <c r="G73" s="26" t="n">
        <f aca="false">SUM(F$5:F73)</f>
        <v>0.997867033071436</v>
      </c>
      <c r="H73" s="20" t="n">
        <v>78</v>
      </c>
      <c r="I73" s="22" t="n">
        <f aca="false">D73/H73</f>
        <v>2889.48474358974</v>
      </c>
      <c r="J73" s="20" t="n">
        <v>27</v>
      </c>
      <c r="K73" s="20" t="n">
        <v>12</v>
      </c>
      <c r="L73" s="22" t="n">
        <f aca="false">D73/K73</f>
        <v>18781.6508333333</v>
      </c>
    </row>
    <row r="74" customFormat="false" ht="15" hidden="false" customHeight="false" outlineLevel="0" collapsed="false">
      <c r="A74" s="32" t="n">
        <v>70</v>
      </c>
      <c r="B74" s="25" t="s">
        <v>102</v>
      </c>
      <c r="C74" s="25" t="s">
        <v>208</v>
      </c>
      <c r="D74" s="18" t="n">
        <v>222615.08</v>
      </c>
      <c r="E74" s="17" t="n">
        <f aca="false">D74/10000000</f>
        <v>0.022261508</v>
      </c>
      <c r="F74" s="34" t="n">
        <f aca="false">D74/D98</f>
        <v>0.000164875639362216</v>
      </c>
      <c r="G74" s="26" t="n">
        <f aca="false">SUM(F$5:F74)</f>
        <v>0.998031908710798</v>
      </c>
      <c r="H74" s="20" t="n">
        <v>411</v>
      </c>
      <c r="I74" s="22" t="n">
        <f aca="false">D74/H74</f>
        <v>541.642530413625</v>
      </c>
      <c r="J74" s="20" t="n">
        <v>198</v>
      </c>
      <c r="K74" s="20" t="n">
        <v>111</v>
      </c>
      <c r="L74" s="22" t="n">
        <f aca="false">D74/K74</f>
        <v>2005.54126126126</v>
      </c>
    </row>
    <row r="75" customFormat="false" ht="15" hidden="false" customHeight="false" outlineLevel="0" collapsed="false">
      <c r="A75" s="32" t="n">
        <v>71</v>
      </c>
      <c r="B75" s="25" t="s">
        <v>105</v>
      </c>
      <c r="C75" s="25" t="s">
        <v>209</v>
      </c>
      <c r="D75" s="18" t="n">
        <v>212675.54</v>
      </c>
      <c r="E75" s="17" t="n">
        <f aca="false">D75/10000000</f>
        <v>0.021267554</v>
      </c>
      <c r="F75" s="34" t="n">
        <f aca="false">D75/D98</f>
        <v>0.0001575141074639</v>
      </c>
      <c r="G75" s="26" t="n">
        <f aca="false">SUM(F$5:F75)</f>
        <v>0.998189422818262</v>
      </c>
      <c r="H75" s="20" t="n">
        <v>196</v>
      </c>
      <c r="I75" s="22" t="n">
        <f aca="false">D75/H75</f>
        <v>1085.07928571429</v>
      </c>
      <c r="J75" s="20" t="n">
        <v>51</v>
      </c>
      <c r="K75" s="20" t="n">
        <v>1</v>
      </c>
      <c r="L75" s="22" t="n">
        <f aca="false">D75/K75</f>
        <v>212675.54</v>
      </c>
    </row>
    <row r="76" customFormat="false" ht="15" hidden="false" customHeight="false" outlineLevel="0" collapsed="false">
      <c r="A76" s="32" t="n">
        <v>72</v>
      </c>
      <c r="B76" s="25" t="s">
        <v>106</v>
      </c>
      <c r="C76" s="25" t="s">
        <v>210</v>
      </c>
      <c r="D76" s="18" t="n">
        <v>208354.28</v>
      </c>
      <c r="E76" s="17" t="n">
        <f aca="false">D76/10000000</f>
        <v>0.020835428</v>
      </c>
      <c r="F76" s="34" t="n">
        <f aca="false">D76/D98</f>
        <v>0.000154313648153819</v>
      </c>
      <c r="G76" s="26" t="n">
        <f aca="false">SUM(F$5:F76)</f>
        <v>0.998343736466416</v>
      </c>
      <c r="H76" s="20" t="n">
        <v>55</v>
      </c>
      <c r="I76" s="22" t="n">
        <f aca="false">D76/H76</f>
        <v>3788.25963636364</v>
      </c>
      <c r="J76" s="20" t="n">
        <v>21</v>
      </c>
      <c r="K76" s="20" t="n">
        <v>1</v>
      </c>
      <c r="L76" s="22" t="n">
        <f aca="false">D76/K76</f>
        <v>208354.28</v>
      </c>
    </row>
    <row r="77" customFormat="false" ht="15" hidden="false" customHeight="false" outlineLevel="0" collapsed="false">
      <c r="A77" s="32" t="n">
        <v>73</v>
      </c>
      <c r="B77" s="25" t="s">
        <v>105</v>
      </c>
      <c r="C77" s="25" t="s">
        <v>211</v>
      </c>
      <c r="D77" s="18" t="n">
        <v>196824.9</v>
      </c>
      <c r="E77" s="17" t="n">
        <f aca="false">D77/10000000</f>
        <v>0.01968249</v>
      </c>
      <c r="F77" s="34" t="n">
        <f aca="false">D77/D98</f>
        <v>0.000145774631394712</v>
      </c>
      <c r="G77" s="26" t="n">
        <f aca="false">SUM(F$5:F77)</f>
        <v>0.998489511097811</v>
      </c>
      <c r="H77" s="20" t="n">
        <v>50</v>
      </c>
      <c r="I77" s="22" t="n">
        <f aca="false">D77/H77</f>
        <v>3936.498</v>
      </c>
      <c r="J77" s="20" t="n">
        <v>15</v>
      </c>
      <c r="K77" s="20" t="n">
        <v>1</v>
      </c>
      <c r="L77" s="22" t="n">
        <f aca="false">D77/K77</f>
        <v>196824.9</v>
      </c>
    </row>
    <row r="78" customFormat="false" ht="15" hidden="false" customHeight="false" outlineLevel="0" collapsed="false">
      <c r="A78" s="32" t="n">
        <v>74</v>
      </c>
      <c r="B78" s="25" t="s">
        <v>105</v>
      </c>
      <c r="C78" s="25" t="s">
        <v>212</v>
      </c>
      <c r="D78" s="18" t="n">
        <v>171797.47</v>
      </c>
      <c r="E78" s="17" t="n">
        <f aca="false">D78/10000000</f>
        <v>0.017179747</v>
      </c>
      <c r="F78" s="34" t="n">
        <f aca="false">D78/D98</f>
        <v>0.000127238539756881</v>
      </c>
      <c r="G78" s="26" t="n">
        <f aca="false">SUM(F$5:F78)</f>
        <v>0.998616749637568</v>
      </c>
      <c r="H78" s="20" t="n">
        <v>32</v>
      </c>
      <c r="I78" s="22" t="n">
        <f aca="false">D78/H78</f>
        <v>5368.6709375</v>
      </c>
      <c r="J78" s="20" t="n">
        <v>14</v>
      </c>
      <c r="K78" s="20" t="n">
        <v>2</v>
      </c>
      <c r="L78" s="22" t="n">
        <f aca="false">D78/K78</f>
        <v>85898.735</v>
      </c>
    </row>
    <row r="79" customFormat="false" ht="15" hidden="false" customHeight="false" outlineLevel="0" collapsed="false">
      <c r="A79" s="32" t="n">
        <v>75</v>
      </c>
      <c r="B79" s="25" t="s">
        <v>105</v>
      </c>
      <c r="C79" s="25" t="s">
        <v>213</v>
      </c>
      <c r="D79" s="18" t="n">
        <v>171276.79</v>
      </c>
      <c r="E79" s="17" t="n">
        <f aca="false">D79/10000000</f>
        <v>0.017127679</v>
      </c>
      <c r="F79" s="34" t="n">
        <f aca="false">D79/D98</f>
        <v>0.000126852907984302</v>
      </c>
      <c r="G79" s="26" t="n">
        <f aca="false">SUM(F$5:F79)</f>
        <v>0.998743602545552</v>
      </c>
      <c r="H79" s="20" t="n">
        <v>40</v>
      </c>
      <c r="I79" s="22" t="n">
        <f aca="false">D79/H79</f>
        <v>4281.91975</v>
      </c>
      <c r="J79" s="20" t="n">
        <v>12</v>
      </c>
      <c r="K79" s="20" t="n">
        <v>1</v>
      </c>
      <c r="L79" s="22" t="n">
        <f aca="false">D79/K79</f>
        <v>171276.79</v>
      </c>
    </row>
    <row r="80" customFormat="false" ht="15" hidden="false" customHeight="false" outlineLevel="0" collapsed="false">
      <c r="A80" s="32" t="n">
        <v>76</v>
      </c>
      <c r="B80" s="25" t="s">
        <v>105</v>
      </c>
      <c r="C80" s="25" t="s">
        <v>214</v>
      </c>
      <c r="D80" s="18" t="n">
        <v>164359.82</v>
      </c>
      <c r="E80" s="17" t="n">
        <f aca="false">D80/10000000</f>
        <v>0.016435982</v>
      </c>
      <c r="F80" s="34" t="n">
        <f aca="false">D80/D98</f>
        <v>0.000121729985264066</v>
      </c>
      <c r="G80" s="26" t="n">
        <f aca="false">SUM(F$5:F80)</f>
        <v>0.998865332530816</v>
      </c>
      <c r="H80" s="20" t="n">
        <v>26</v>
      </c>
      <c r="I80" s="22" t="n">
        <f aca="false">D80/H80</f>
        <v>6321.53153846154</v>
      </c>
      <c r="J80" s="20" t="n">
        <v>13</v>
      </c>
      <c r="K80" s="20" t="n">
        <v>1</v>
      </c>
      <c r="L80" s="22" t="n">
        <f aca="false">D80/K80</f>
        <v>164359.82</v>
      </c>
    </row>
    <row r="81" customFormat="false" ht="15" hidden="false" customHeight="false" outlineLevel="0" collapsed="false">
      <c r="A81" s="32" t="n">
        <v>77</v>
      </c>
      <c r="B81" s="25" t="s">
        <v>106</v>
      </c>
      <c r="C81" s="25" t="s">
        <v>215</v>
      </c>
      <c r="D81" s="18" t="n">
        <v>163843.87</v>
      </c>
      <c r="E81" s="17" t="n">
        <f aca="false">D81/10000000</f>
        <v>0.016384387</v>
      </c>
      <c r="F81" s="34" t="n">
        <f aca="false">D81/D98</f>
        <v>0.000121347856676331</v>
      </c>
      <c r="G81" s="26" t="n">
        <f aca="false">SUM(F$5:F81)</f>
        <v>0.998986680387492</v>
      </c>
      <c r="H81" s="20" t="n">
        <v>32</v>
      </c>
      <c r="I81" s="22" t="n">
        <f aca="false">D81/H81</f>
        <v>5120.1209375</v>
      </c>
      <c r="J81" s="20" t="n">
        <v>9</v>
      </c>
      <c r="K81" s="20" t="n">
        <v>1</v>
      </c>
      <c r="L81" s="22" t="n">
        <f aca="false">D81/K81</f>
        <v>163843.87</v>
      </c>
    </row>
    <row r="82" customFormat="false" ht="15" hidden="false" customHeight="false" outlineLevel="0" collapsed="false">
      <c r="A82" s="32" t="n">
        <v>78</v>
      </c>
      <c r="B82" s="25" t="s">
        <v>105</v>
      </c>
      <c r="C82" s="25" t="s">
        <v>216</v>
      </c>
      <c r="D82" s="18" t="n">
        <v>163013.16</v>
      </c>
      <c r="E82" s="17" t="n">
        <f aca="false">D82/10000000</f>
        <v>0.016301316</v>
      </c>
      <c r="F82" s="34" t="n">
        <f aca="false">D82/D98</f>
        <v>0.00012073260706083</v>
      </c>
      <c r="G82" s="26" t="n">
        <f aca="false">SUM(F$5:F82)</f>
        <v>0.999107412994553</v>
      </c>
      <c r="H82" s="20" t="n">
        <v>73</v>
      </c>
      <c r="I82" s="22" t="n">
        <f aca="false">D82/H82</f>
        <v>2233.05698630137</v>
      </c>
      <c r="J82" s="20" t="n">
        <v>35</v>
      </c>
      <c r="K82" s="20" t="n">
        <v>3</v>
      </c>
      <c r="L82" s="22" t="n">
        <f aca="false">D82/K82</f>
        <v>54337.72</v>
      </c>
    </row>
    <row r="83" customFormat="false" ht="15" hidden="false" customHeight="false" outlineLevel="0" collapsed="false">
      <c r="A83" s="32" t="n">
        <v>79</v>
      </c>
      <c r="B83" s="25" t="s">
        <v>102</v>
      </c>
      <c r="C83" s="25" t="s">
        <v>217</v>
      </c>
      <c r="D83" s="18" t="n">
        <v>162716.51</v>
      </c>
      <c r="E83" s="17" t="n">
        <f aca="false">D83/10000000</f>
        <v>0.016271651</v>
      </c>
      <c r="F83" s="34" t="n">
        <f aca="false">D83/D98</f>
        <v>0.000120512898861292</v>
      </c>
      <c r="G83" s="26" t="n">
        <f aca="false">SUM(F$5:F83)</f>
        <v>0.999227925893414</v>
      </c>
      <c r="H83" s="20" t="n">
        <v>294</v>
      </c>
      <c r="I83" s="22" t="n">
        <f aca="false">D83/H83</f>
        <v>553.457517006803</v>
      </c>
      <c r="J83" s="20" t="n">
        <v>143</v>
      </c>
      <c r="K83" s="20" t="n">
        <v>119</v>
      </c>
      <c r="L83" s="22" t="n">
        <f aca="false">D83/K83</f>
        <v>1367.3656302521</v>
      </c>
    </row>
    <row r="84" customFormat="false" ht="15" hidden="false" customHeight="false" outlineLevel="0" collapsed="false">
      <c r="A84" s="32" t="n">
        <v>80</v>
      </c>
      <c r="B84" s="25" t="s">
        <v>106</v>
      </c>
      <c r="C84" s="25" t="s">
        <v>218</v>
      </c>
      <c r="D84" s="18" t="n">
        <v>146181.04</v>
      </c>
      <c r="E84" s="17" t="n">
        <f aca="false">D84/10000000</f>
        <v>0.014618104</v>
      </c>
      <c r="F84" s="34" t="n">
        <f aca="false">D84/D98</f>
        <v>0.000108266216433468</v>
      </c>
      <c r="G84" s="26" t="n">
        <f aca="false">SUM(F$5:F84)</f>
        <v>0.999336192109848</v>
      </c>
      <c r="H84" s="20" t="n">
        <v>295</v>
      </c>
      <c r="I84" s="22" t="n">
        <f aca="false">D84/H84</f>
        <v>495.528949152542</v>
      </c>
      <c r="J84" s="20" t="n">
        <v>58</v>
      </c>
      <c r="K84" s="20" t="n">
        <v>1</v>
      </c>
      <c r="L84" s="22" t="n">
        <f aca="false">D84/K84</f>
        <v>146181.04</v>
      </c>
    </row>
    <row r="85" customFormat="false" ht="15" hidden="false" customHeight="false" outlineLevel="0" collapsed="false">
      <c r="A85" s="32" t="n">
        <v>81</v>
      </c>
      <c r="B85" s="25" t="s">
        <v>104</v>
      </c>
      <c r="C85" s="25" t="s">
        <v>219</v>
      </c>
      <c r="D85" s="18" t="n">
        <v>143107.63</v>
      </c>
      <c r="E85" s="17" t="n">
        <f aca="false">D85/10000000</f>
        <v>0.014310763</v>
      </c>
      <c r="F85" s="34" t="n">
        <f aca="false">D85/D98</f>
        <v>0.000105989953573053</v>
      </c>
      <c r="G85" s="26" t="n">
        <f aca="false">SUM(F$5:F85)</f>
        <v>0.999442182063421</v>
      </c>
      <c r="H85" s="20" t="n">
        <v>61</v>
      </c>
      <c r="I85" s="22" t="n">
        <f aca="false">D85/H85</f>
        <v>2346.02672131148</v>
      </c>
      <c r="J85" s="20" t="n">
        <v>18</v>
      </c>
      <c r="K85" s="20" t="n">
        <v>4</v>
      </c>
      <c r="L85" s="22" t="n">
        <f aca="false">D85/K85</f>
        <v>35776.9075</v>
      </c>
    </row>
    <row r="86" customFormat="false" ht="15" hidden="false" customHeight="false" outlineLevel="0" collapsed="false">
      <c r="A86" s="32" t="n">
        <v>82</v>
      </c>
      <c r="B86" s="25" t="s">
        <v>107</v>
      </c>
      <c r="C86" s="25" t="s">
        <v>145</v>
      </c>
      <c r="D86" s="18" t="n">
        <v>117406.91</v>
      </c>
      <c r="E86" s="17" t="n">
        <f aca="false">D86/10000000</f>
        <v>0.011740691</v>
      </c>
      <c r="F86" s="34" t="n">
        <f aca="false">D86/D98</f>
        <v>8.6955202458846E-005</v>
      </c>
      <c r="G86" s="26" t="n">
        <f aca="false">SUM(F$5:F86)</f>
        <v>0.99952913726588</v>
      </c>
      <c r="H86" s="20" t="n">
        <v>76</v>
      </c>
      <c r="I86" s="22" t="n">
        <f aca="false">D86/H86</f>
        <v>1544.82776315789</v>
      </c>
      <c r="J86" s="20" t="n">
        <v>76</v>
      </c>
      <c r="K86" s="20" t="n">
        <v>30</v>
      </c>
      <c r="L86" s="22" t="n">
        <f aca="false">D86/K86</f>
        <v>3913.56366666667</v>
      </c>
    </row>
    <row r="87" customFormat="false" ht="15" hidden="false" customHeight="false" outlineLevel="0" collapsed="false">
      <c r="A87" s="32" t="n">
        <v>83</v>
      </c>
      <c r="B87" s="25" t="s">
        <v>105</v>
      </c>
      <c r="C87" s="25" t="s">
        <v>220</v>
      </c>
      <c r="D87" s="18" t="n">
        <v>114124.25</v>
      </c>
      <c r="E87" s="17" t="n">
        <f aca="false">D87/10000000</f>
        <v>0.011412425</v>
      </c>
      <c r="F87" s="34" t="n">
        <f aca="false">D87/D98</f>
        <v>8.45239625522378E-005</v>
      </c>
      <c r="G87" s="26" t="n">
        <f aca="false">SUM(F$5:F87)</f>
        <v>0.999613661228432</v>
      </c>
      <c r="H87" s="20" t="n">
        <v>71</v>
      </c>
      <c r="I87" s="22" t="n">
        <f aca="false">D87/H87</f>
        <v>1607.3838028169</v>
      </c>
      <c r="J87" s="20" t="n">
        <v>39</v>
      </c>
      <c r="K87" s="20" t="n">
        <v>1</v>
      </c>
      <c r="L87" s="22" t="n">
        <f aca="false">D87/K87</f>
        <v>114124.25</v>
      </c>
    </row>
    <row r="88" customFormat="false" ht="15" hidden="false" customHeight="false" outlineLevel="0" collapsed="false">
      <c r="A88" s="32" t="n">
        <v>84</v>
      </c>
      <c r="B88" s="25" t="s">
        <v>106</v>
      </c>
      <c r="C88" s="25" t="s">
        <v>139</v>
      </c>
      <c r="D88" s="18" t="n">
        <v>107107.4</v>
      </c>
      <c r="E88" s="17" t="n">
        <f aca="false">D88/10000000</f>
        <v>0.01071074</v>
      </c>
      <c r="F88" s="34" t="n">
        <f aca="false">D88/D98</f>
        <v>7.93270656032136E-005</v>
      </c>
      <c r="G88" s="26" t="n">
        <f aca="false">SUM(F$5:F88)</f>
        <v>0.999692988294035</v>
      </c>
      <c r="H88" s="20" t="n">
        <v>17</v>
      </c>
      <c r="I88" s="22" t="n">
        <f aca="false">D88/H88</f>
        <v>6300.43529411765</v>
      </c>
      <c r="J88" s="20" t="n">
        <v>4</v>
      </c>
      <c r="K88" s="20" t="n">
        <v>1</v>
      </c>
      <c r="L88" s="22" t="n">
        <f aca="false">D88/K88</f>
        <v>107107.4</v>
      </c>
    </row>
    <row r="89" customFormat="false" ht="15" hidden="false" customHeight="false" outlineLevel="0" collapsed="false">
      <c r="A89" s="32" t="n">
        <v>85</v>
      </c>
      <c r="B89" s="25" t="s">
        <v>105</v>
      </c>
      <c r="C89" s="25" t="s">
        <v>138</v>
      </c>
      <c r="D89" s="18" t="n">
        <v>106863.65</v>
      </c>
      <c r="E89" s="17" t="n">
        <f aca="false">D89/10000000</f>
        <v>0.010686365</v>
      </c>
      <c r="F89" s="34" t="n">
        <f aca="false">D89/D98</f>
        <v>7.91465367859631E-005</v>
      </c>
      <c r="G89" s="26" t="n">
        <f aca="false">SUM(F$5:F89)</f>
        <v>0.999772134830821</v>
      </c>
      <c r="H89" s="20" t="n">
        <v>158</v>
      </c>
      <c r="I89" s="22" t="n">
        <f aca="false">D89/H89</f>
        <v>676.352215189873</v>
      </c>
      <c r="J89" s="20" t="n">
        <v>48</v>
      </c>
      <c r="K89" s="20" t="n">
        <v>1</v>
      </c>
      <c r="L89" s="22" t="n">
        <f aca="false">D89/K89</f>
        <v>106863.65</v>
      </c>
    </row>
    <row r="90" customFormat="false" ht="15" hidden="false" customHeight="false" outlineLevel="0" collapsed="false">
      <c r="A90" s="32" t="n">
        <v>86</v>
      </c>
      <c r="B90" s="25" t="s">
        <v>105</v>
      </c>
      <c r="C90" s="25" t="s">
        <v>137</v>
      </c>
      <c r="D90" s="18" t="n">
        <v>95383.47</v>
      </c>
      <c r="E90" s="17" t="n">
        <f aca="false">D90/10000000</f>
        <v>0.009538347</v>
      </c>
      <c r="F90" s="34" t="n">
        <f aca="false">D90/D98</f>
        <v>7.06439590742765E-005</v>
      </c>
      <c r="G90" s="26" t="n">
        <f aca="false">SUM(F$5:F90)</f>
        <v>0.999842778789896</v>
      </c>
      <c r="H90" s="20" t="n">
        <v>60</v>
      </c>
      <c r="I90" s="22" t="n">
        <f aca="false">D90/H90</f>
        <v>1589.7245</v>
      </c>
      <c r="J90" s="20" t="n">
        <v>28</v>
      </c>
      <c r="K90" s="20" t="n">
        <v>2</v>
      </c>
      <c r="L90" s="22" t="n">
        <f aca="false">D90/K90</f>
        <v>47691.735</v>
      </c>
    </row>
    <row r="91" customFormat="false" ht="15" hidden="false" customHeight="false" outlineLevel="0" collapsed="false">
      <c r="A91" s="32" t="n">
        <v>87</v>
      </c>
      <c r="B91" s="25" t="s">
        <v>104</v>
      </c>
      <c r="C91" s="25" t="s">
        <v>136</v>
      </c>
      <c r="D91" s="18" t="n">
        <v>56614.32</v>
      </c>
      <c r="E91" s="17" t="n">
        <f aca="false">D91/10000000</f>
        <v>0.005661432</v>
      </c>
      <c r="F91" s="34" t="n">
        <f aca="false">D91/D98</f>
        <v>4.19303229909542E-005</v>
      </c>
      <c r="G91" s="26" t="n">
        <f aca="false">SUM(F$5:F91)</f>
        <v>0.999884709112886</v>
      </c>
      <c r="H91" s="20" t="n">
        <v>33</v>
      </c>
      <c r="I91" s="22" t="n">
        <f aca="false">D91/H91</f>
        <v>1715.58545454545</v>
      </c>
      <c r="J91" s="20" t="n">
        <v>12</v>
      </c>
      <c r="K91" s="20" t="n">
        <v>6</v>
      </c>
      <c r="L91" s="22" t="n">
        <f aca="false">D91/K91</f>
        <v>9435.72</v>
      </c>
    </row>
    <row r="92" customFormat="false" ht="15" hidden="false" customHeight="false" outlineLevel="0" collapsed="false">
      <c r="A92" s="32" t="n">
        <v>88</v>
      </c>
      <c r="B92" s="25" t="s">
        <v>105</v>
      </c>
      <c r="C92" s="25" t="s">
        <v>135</v>
      </c>
      <c r="D92" s="18" t="n">
        <v>55890.98</v>
      </c>
      <c r="E92" s="17" t="n">
        <f aca="false">D92/10000000</f>
        <v>0.005589098</v>
      </c>
      <c r="F92" s="34" t="n">
        <f aca="false">D92/D98</f>
        <v>4.13945949307695E-005</v>
      </c>
      <c r="G92" s="26" t="n">
        <f aca="false">SUM(F$5:F92)</f>
        <v>0.999926103707817</v>
      </c>
      <c r="H92" s="20" t="n">
        <v>34</v>
      </c>
      <c r="I92" s="22" t="n">
        <f aca="false">D92/H92</f>
        <v>1643.85235294118</v>
      </c>
      <c r="J92" s="20" t="n">
        <v>15</v>
      </c>
      <c r="K92" s="20" t="n">
        <v>1</v>
      </c>
      <c r="L92" s="22" t="n">
        <f aca="false">D92/K92</f>
        <v>55890.98</v>
      </c>
    </row>
    <row r="93" customFormat="false" ht="15" hidden="false" customHeight="false" outlineLevel="0" collapsed="false">
      <c r="A93" s="32" t="n">
        <v>89</v>
      </c>
      <c r="B93" s="25" t="s">
        <v>105</v>
      </c>
      <c r="C93" s="25" t="s">
        <v>134</v>
      </c>
      <c r="D93" s="18" t="n">
        <v>47081.46</v>
      </c>
      <c r="E93" s="17" t="n">
        <f aca="false">D93/10000000</f>
        <v>0.004708146</v>
      </c>
      <c r="F93" s="34" t="n">
        <f aca="false">D93/D98</f>
        <v>3.48699909260712E-005</v>
      </c>
      <c r="G93" s="26" t="n">
        <f aca="false">SUM(F$5:F93)</f>
        <v>0.999960973698743</v>
      </c>
      <c r="H93" s="20" t="n">
        <v>26</v>
      </c>
      <c r="I93" s="22" t="n">
        <f aca="false">D93/H93</f>
        <v>1810.82538461538</v>
      </c>
      <c r="J93" s="20" t="n">
        <v>11</v>
      </c>
      <c r="K93" s="20" t="n">
        <v>1</v>
      </c>
      <c r="L93" s="22" t="n">
        <f aca="false">D93/K93</f>
        <v>47081.46</v>
      </c>
    </row>
    <row r="94" customFormat="false" ht="15" hidden="false" customHeight="false" outlineLevel="0" collapsed="false">
      <c r="A94" s="32" t="n">
        <v>90</v>
      </c>
      <c r="B94" s="25" t="s">
        <v>104</v>
      </c>
      <c r="C94" s="25" t="s">
        <v>133</v>
      </c>
      <c r="D94" s="18" t="n">
        <v>16383.18</v>
      </c>
      <c r="E94" s="17" t="n">
        <f aca="false">D94/10000000</f>
        <v>0.001638318</v>
      </c>
      <c r="F94" s="34" t="n">
        <f aca="false">D94/D98</f>
        <v>1.21338917259616E-005</v>
      </c>
      <c r="G94" s="26" t="n">
        <f aca="false">SUM(F$5:F94)</f>
        <v>0.999973107590469</v>
      </c>
      <c r="H94" s="20" t="n">
        <v>10</v>
      </c>
      <c r="I94" s="22" t="n">
        <f aca="false">D94/H94</f>
        <v>1638.318</v>
      </c>
      <c r="J94" s="20" t="n">
        <v>3</v>
      </c>
      <c r="K94" s="20" t="n">
        <v>1</v>
      </c>
      <c r="L94" s="22" t="n">
        <f aca="false">D94/K94</f>
        <v>16383.18</v>
      </c>
    </row>
    <row r="95" customFormat="false" ht="15" hidden="false" customHeight="false" outlineLevel="0" collapsed="false">
      <c r="A95" s="32" t="n">
        <v>91</v>
      </c>
      <c r="B95" s="25" t="s">
        <v>104</v>
      </c>
      <c r="C95" s="25" t="s">
        <v>132</v>
      </c>
      <c r="D95" s="18" t="n">
        <v>15547.56</v>
      </c>
      <c r="E95" s="17" t="n">
        <f aca="false">D95/10000000</f>
        <v>0.001554756</v>
      </c>
      <c r="F95" s="34" t="n">
        <f aca="false">D95/D98</f>
        <v>1.15150056120296E-005</v>
      </c>
      <c r="G95" s="26" t="n">
        <f aca="false">SUM(F$5:F95)</f>
        <v>0.999984622596081</v>
      </c>
      <c r="H95" s="20" t="n">
        <v>9</v>
      </c>
      <c r="I95" s="22" t="n">
        <f aca="false">D95/H95</f>
        <v>1727.50666666667</v>
      </c>
      <c r="J95" s="20" t="n">
        <v>3</v>
      </c>
      <c r="K95" s="20" t="n">
        <v>1</v>
      </c>
      <c r="L95" s="22" t="n">
        <f aca="false">D95/K95</f>
        <v>15547.56</v>
      </c>
    </row>
    <row r="96" customFormat="false" ht="15" hidden="false" customHeight="false" outlineLevel="0" collapsed="false">
      <c r="A96" s="32" t="n">
        <v>92</v>
      </c>
      <c r="B96" s="25" t="s">
        <v>104</v>
      </c>
      <c r="C96" s="25" t="s">
        <v>131</v>
      </c>
      <c r="D96" s="18" t="n">
        <v>12036.01</v>
      </c>
      <c r="E96" s="17" t="n">
        <f aca="false">D96/10000000</f>
        <v>0.001203601</v>
      </c>
      <c r="F96" s="34" t="n">
        <f aca="false">D96/D98</f>
        <v>8.9142426655015E-006</v>
      </c>
      <c r="G96" s="26" t="n">
        <f aca="false">SUM(F$5:F96)</f>
        <v>0.999993536838747</v>
      </c>
      <c r="H96" s="20" t="n">
        <v>7</v>
      </c>
      <c r="I96" s="22" t="n">
        <f aca="false">D96/H96</f>
        <v>1719.43</v>
      </c>
      <c r="J96" s="20" t="n">
        <v>3</v>
      </c>
      <c r="K96" s="20" t="n">
        <v>1</v>
      </c>
      <c r="L96" s="22" t="n">
        <f aca="false">D96/K96</f>
        <v>12036.01</v>
      </c>
    </row>
    <row r="97" customFormat="false" ht="15" hidden="false" customHeight="false" outlineLevel="0" collapsed="false">
      <c r="A97" s="32" t="n">
        <v>93</v>
      </c>
      <c r="B97" s="25" t="s">
        <v>106</v>
      </c>
      <c r="C97" s="25" t="s">
        <v>130</v>
      </c>
      <c r="D97" s="18" t="n">
        <v>8726.56</v>
      </c>
      <c r="E97" s="17" t="n">
        <f aca="false">D97/10000000</f>
        <v>0.000872656</v>
      </c>
      <c r="F97" s="34" t="n">
        <f aca="false">D97/D98</f>
        <v>6.46316125319427E-006</v>
      </c>
      <c r="G97" s="26" t="n">
        <f aca="false">SUM(F$5:F97)</f>
        <v>1</v>
      </c>
      <c r="H97" s="20" t="n">
        <v>4</v>
      </c>
      <c r="I97" s="22" t="n">
        <f aca="false">D97/H97</f>
        <v>2181.64</v>
      </c>
      <c r="J97" s="20" t="n">
        <v>2</v>
      </c>
      <c r="K97" s="20" t="n">
        <v>1</v>
      </c>
      <c r="L97" s="22" t="n">
        <f aca="false">D97/K97</f>
        <v>8726.56</v>
      </c>
    </row>
    <row r="98" customFormat="false" ht="15" hidden="false" customHeight="false" outlineLevel="0" collapsed="false">
      <c r="A98" s="27" t="s">
        <v>80</v>
      </c>
      <c r="B98" s="27"/>
      <c r="C98" s="27"/>
      <c r="D98" s="28" t="n">
        <f aca="false">SUM(D5:D97)</f>
        <v>1350199949.86</v>
      </c>
      <c r="E98" s="29" t="n">
        <f aca="false">SUM(E5:E97)</f>
        <v>135.019994986</v>
      </c>
      <c r="F98" s="35" t="n">
        <f aca="false">SUM(F5:F97)</f>
        <v>1</v>
      </c>
      <c r="G98" s="27"/>
      <c r="H98" s="31" t="n">
        <f aca="false">SUM(H5:H97)</f>
        <v>779553</v>
      </c>
      <c r="I98" s="28" t="n">
        <f aca="false">D98/H98</f>
        <v>1732.01815637936</v>
      </c>
      <c r="J98" s="27"/>
      <c r="K98" s="27"/>
      <c r="L98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1" t="s">
        <v>221</v>
      </c>
    </row>
    <row r="2" customFormat="false" ht="15" hidden="false" customHeight="false" outlineLevel="0" collapsed="false">
      <c r="A2" s="12" t="s">
        <v>222</v>
      </c>
    </row>
    <row r="3" customFormat="false" ht="15" hidden="false" customHeight="false" outlineLevel="0" collapsed="false">
      <c r="A3" s="3" t="s">
        <v>223</v>
      </c>
    </row>
    <row r="4" customFormat="false" ht="31.5" hidden="false" customHeight="true" outlineLevel="0" collapsed="false">
      <c r="A4" s="24" t="s">
        <v>101</v>
      </c>
      <c r="B4" s="24" t="s">
        <v>224</v>
      </c>
      <c r="C4" s="24" t="s">
        <v>96</v>
      </c>
      <c r="D4" s="24" t="s">
        <v>72</v>
      </c>
      <c r="E4" s="24" t="s">
        <v>225</v>
      </c>
      <c r="F4" s="24" t="s">
        <v>75</v>
      </c>
      <c r="G4" s="24" t="s">
        <v>97</v>
      </c>
      <c r="H4" s="24" t="s">
        <v>77</v>
      </c>
    </row>
    <row r="5" customFormat="false" ht="15" hidden="false" customHeight="false" outlineLevel="0" collapsed="false">
      <c r="A5" s="32" t="n">
        <v>1</v>
      </c>
      <c r="B5" s="25" t="s">
        <v>226</v>
      </c>
      <c r="C5" s="25" t="s">
        <v>105</v>
      </c>
      <c r="D5" s="18" t="n">
        <v>60459042.14</v>
      </c>
      <c r="E5" s="34" t="n">
        <f aca="false">D5/1_Overall!$B$5</f>
        <v>0.0447778435677389</v>
      </c>
      <c r="F5" s="20" t="n">
        <v>7071</v>
      </c>
      <c r="G5" s="20" t="n">
        <v>55</v>
      </c>
      <c r="H5" s="22" t="n">
        <f aca="false">D5/F5</f>
        <v>8550.28173384246</v>
      </c>
    </row>
    <row r="6" customFormat="false" ht="15" hidden="false" customHeight="false" outlineLevel="0" collapsed="false">
      <c r="A6" s="32" t="n">
        <v>2</v>
      </c>
      <c r="B6" s="25" t="s">
        <v>227</v>
      </c>
      <c r="C6" s="25" t="s">
        <v>102</v>
      </c>
      <c r="D6" s="18" t="n">
        <v>45612411.42</v>
      </c>
      <c r="E6" s="34" t="n">
        <f aca="false">D6/1_Overall!$B$5</f>
        <v>0.0337819679409183</v>
      </c>
      <c r="F6" s="20" t="n">
        <v>59156</v>
      </c>
      <c r="G6" s="20" t="n">
        <v>53</v>
      </c>
      <c r="H6" s="22" t="n">
        <f aca="false">D6/F6</f>
        <v>771.053002569477</v>
      </c>
    </row>
    <row r="7" customFormat="false" ht="15" hidden="false" customHeight="false" outlineLevel="0" collapsed="false">
      <c r="A7" s="32" t="n">
        <v>3</v>
      </c>
      <c r="B7" s="25" t="s">
        <v>228</v>
      </c>
      <c r="C7" s="25" t="s">
        <v>104</v>
      </c>
      <c r="D7" s="18" t="n">
        <v>23814014.57</v>
      </c>
      <c r="E7" s="34" t="n">
        <f aca="false">D7/1_Overall!$B$5</f>
        <v>0.0176373984997328</v>
      </c>
      <c r="F7" s="20" t="n">
        <v>11702</v>
      </c>
      <c r="G7" s="20" t="n">
        <v>89</v>
      </c>
      <c r="H7" s="22" t="n">
        <f aca="false">D7/F7</f>
        <v>2035.03799094172</v>
      </c>
    </row>
    <row r="8" customFormat="false" ht="15" hidden="false" customHeight="false" outlineLevel="0" collapsed="false">
      <c r="A8" s="32" t="n">
        <v>4</v>
      </c>
      <c r="B8" s="25" t="s">
        <v>229</v>
      </c>
      <c r="C8" s="25" t="s">
        <v>102</v>
      </c>
      <c r="D8" s="18" t="n">
        <v>14345042.74</v>
      </c>
      <c r="E8" s="34" t="n">
        <f aca="false">D8/1_Overall!$B$5</f>
        <v>0.0106243839969683</v>
      </c>
      <c r="F8" s="20" t="n">
        <v>42592</v>
      </c>
      <c r="G8" s="20" t="n">
        <v>51</v>
      </c>
      <c r="H8" s="22" t="n">
        <f aca="false">D8/F8</f>
        <v>336.801341566491</v>
      </c>
    </row>
    <row r="9" customFormat="false" ht="15" hidden="false" customHeight="false" outlineLevel="0" collapsed="false">
      <c r="A9" s="32" t="n">
        <v>5</v>
      </c>
      <c r="B9" s="25" t="s">
        <v>230</v>
      </c>
      <c r="C9" s="25" t="s">
        <v>105</v>
      </c>
      <c r="D9" s="18" t="n">
        <v>12272292.68</v>
      </c>
      <c r="E9" s="34" t="n">
        <f aca="false">D9/1_Overall!$B$5</f>
        <v>0.00908924095373614</v>
      </c>
      <c r="F9" s="20" t="n">
        <v>12397</v>
      </c>
      <c r="G9" s="20" t="n">
        <v>54</v>
      </c>
      <c r="H9" s="22" t="n">
        <f aca="false">D9/F9</f>
        <v>989.9405243204</v>
      </c>
    </row>
    <row r="10" customFormat="false" ht="15" hidden="false" customHeight="false" outlineLevel="0" collapsed="false">
      <c r="A10" s="32" t="n">
        <v>6</v>
      </c>
      <c r="B10" s="25" t="s">
        <v>231</v>
      </c>
      <c r="C10" s="25" t="s">
        <v>105</v>
      </c>
      <c r="D10" s="18" t="n">
        <v>10841928.31</v>
      </c>
      <c r="E10" s="34" t="n">
        <f aca="false">D10/1_Overall!$B$5</f>
        <v>0.00802986869546557</v>
      </c>
      <c r="F10" s="20" t="n">
        <v>3558</v>
      </c>
      <c r="G10" s="20" t="n">
        <v>55</v>
      </c>
      <c r="H10" s="22" t="n">
        <f aca="false">D10/F10</f>
        <v>3047.19738898257</v>
      </c>
    </row>
    <row r="11" customFormat="false" ht="15" hidden="false" customHeight="false" outlineLevel="0" collapsed="false">
      <c r="A11" s="32" t="n">
        <v>7</v>
      </c>
      <c r="B11" s="25" t="s">
        <v>232</v>
      </c>
      <c r="C11" s="25" t="s">
        <v>105</v>
      </c>
      <c r="D11" s="18" t="n">
        <v>8659348.17</v>
      </c>
      <c r="E11" s="34" t="n">
        <f aca="false">D11/1_Overall!$B$5</f>
        <v>0.00641338208529624</v>
      </c>
      <c r="F11" s="20" t="n">
        <v>3478</v>
      </c>
      <c r="G11" s="20" t="n">
        <v>55</v>
      </c>
      <c r="H11" s="22" t="n">
        <f aca="false">D11/F11</f>
        <v>2489.74933007476</v>
      </c>
    </row>
    <row r="12" customFormat="false" ht="15" hidden="false" customHeight="false" outlineLevel="0" collapsed="false">
      <c r="A12" s="32" t="n">
        <v>8</v>
      </c>
      <c r="B12" s="25" t="s">
        <v>233</v>
      </c>
      <c r="C12" s="25" t="s">
        <v>105</v>
      </c>
      <c r="D12" s="18" t="n">
        <v>8450260.45</v>
      </c>
      <c r="E12" s="34" t="n">
        <f aca="false">D12/1_Overall!$B$5</f>
        <v>0.00625852522870868</v>
      </c>
      <c r="F12" s="20" t="n">
        <v>2371</v>
      </c>
      <c r="G12" s="20" t="n">
        <v>55</v>
      </c>
      <c r="H12" s="22" t="n">
        <f aca="false">D12/F12</f>
        <v>3564.00693800084</v>
      </c>
    </row>
    <row r="13" customFormat="false" ht="15" hidden="false" customHeight="false" outlineLevel="0" collapsed="false">
      <c r="A13" s="32" t="n">
        <v>9</v>
      </c>
      <c r="B13" s="25" t="s">
        <v>234</v>
      </c>
      <c r="C13" s="25" t="s">
        <v>105</v>
      </c>
      <c r="D13" s="18" t="n">
        <v>7794512.17</v>
      </c>
      <c r="E13" s="34" t="n">
        <f aca="false">D13/1_Overall!$B$5</f>
        <v>0.00577285769474973</v>
      </c>
      <c r="F13" s="20" t="n">
        <v>29264</v>
      </c>
      <c r="G13" s="20" t="n">
        <v>56</v>
      </c>
      <c r="H13" s="22" t="n">
        <f aca="false">D13/F13</f>
        <v>266.351564037726</v>
      </c>
    </row>
    <row r="14" customFormat="false" ht="15" hidden="false" customHeight="false" outlineLevel="0" collapsed="false">
      <c r="A14" s="32" t="n">
        <v>10</v>
      </c>
      <c r="B14" s="25" t="s">
        <v>235</v>
      </c>
      <c r="C14" s="25" t="s">
        <v>104</v>
      </c>
      <c r="D14" s="18" t="n">
        <v>6673979.34</v>
      </c>
      <c r="E14" s="34" t="n">
        <f aca="false">D14/1_Overall!$B$5</f>
        <v>0.00494295629376376</v>
      </c>
      <c r="F14" s="20" t="n">
        <v>2744</v>
      </c>
      <c r="G14" s="20" t="n">
        <v>62</v>
      </c>
      <c r="H14" s="22" t="n">
        <f aca="false">D14/F14</f>
        <v>2432.20821428571</v>
      </c>
    </row>
    <row r="15" customFormat="false" ht="15" hidden="false" customHeight="false" outlineLevel="0" collapsed="false">
      <c r="A15" s="32" t="n">
        <v>11</v>
      </c>
      <c r="B15" s="25" t="s">
        <v>236</v>
      </c>
      <c r="C15" s="25" t="s">
        <v>105</v>
      </c>
      <c r="D15" s="18" t="n">
        <v>6422751.87</v>
      </c>
      <c r="E15" s="34" t="n">
        <f aca="false">D15/1_Overall!$B$5</f>
        <v>0.00475688943009216</v>
      </c>
      <c r="F15" s="20" t="n">
        <v>2116</v>
      </c>
      <c r="G15" s="20" t="n">
        <v>51</v>
      </c>
      <c r="H15" s="22" t="n">
        <f aca="false">D15/F15</f>
        <v>3035.32697069943</v>
      </c>
    </row>
    <row r="16" customFormat="false" ht="15" hidden="false" customHeight="false" outlineLevel="0" collapsed="false">
      <c r="A16" s="32" t="n">
        <v>12</v>
      </c>
      <c r="B16" s="25" t="s">
        <v>237</v>
      </c>
      <c r="C16" s="25" t="s">
        <v>105</v>
      </c>
      <c r="D16" s="18" t="n">
        <v>5494667.57</v>
      </c>
      <c r="E16" s="34" t="n">
        <f aca="false">D16/1_Overall!$B$5</f>
        <v>0.00406952138501393</v>
      </c>
      <c r="F16" s="20" t="n">
        <v>2422</v>
      </c>
      <c r="G16" s="20" t="n">
        <v>87</v>
      </c>
      <c r="H16" s="22" t="n">
        <f aca="false">D16/F16</f>
        <v>2268.64887283237</v>
      </c>
    </row>
    <row r="17" customFormat="false" ht="15" hidden="false" customHeight="false" outlineLevel="0" collapsed="false">
      <c r="A17" s="32" t="n">
        <v>13</v>
      </c>
      <c r="B17" s="25" t="s">
        <v>238</v>
      </c>
      <c r="C17" s="25" t="s">
        <v>104</v>
      </c>
      <c r="D17" s="18" t="n">
        <v>5412126.4</v>
      </c>
      <c r="E17" s="34" t="n">
        <f aca="false">D17/1_Overall!$B$5</f>
        <v>0.00400838883201053</v>
      </c>
      <c r="F17" s="20" t="n">
        <v>12489</v>
      </c>
      <c r="G17" s="20" t="n">
        <v>85</v>
      </c>
      <c r="H17" s="22" t="n">
        <f aca="false">D17/F17</f>
        <v>433.351461285932</v>
      </c>
    </row>
    <row r="18" customFormat="false" ht="15" hidden="false" customHeight="false" outlineLevel="0" collapsed="false">
      <c r="A18" s="32" t="n">
        <v>14</v>
      </c>
      <c r="B18" s="25" t="s">
        <v>239</v>
      </c>
      <c r="C18" s="25" t="s">
        <v>105</v>
      </c>
      <c r="D18" s="18" t="n">
        <v>5193461.72</v>
      </c>
      <c r="E18" s="34" t="n">
        <f aca="false">D18/1_Overall!$B$5</f>
        <v>0.003846438981529</v>
      </c>
      <c r="F18" s="20" t="n">
        <v>2360</v>
      </c>
      <c r="G18" s="20" t="n">
        <v>55</v>
      </c>
      <c r="H18" s="22" t="n">
        <f aca="false">D18/F18</f>
        <v>2200.61937288136</v>
      </c>
    </row>
    <row r="19" customFormat="false" ht="15" hidden="false" customHeight="false" outlineLevel="0" collapsed="false">
      <c r="A19" s="32" t="n">
        <v>15</v>
      </c>
      <c r="B19" s="25" t="s">
        <v>240</v>
      </c>
      <c r="C19" s="25" t="s">
        <v>102</v>
      </c>
      <c r="D19" s="18" t="n">
        <v>5081753.31</v>
      </c>
      <c r="E19" s="34" t="n">
        <f aca="false">D19/1_Overall!$B$5</f>
        <v>0.00376370426508083</v>
      </c>
      <c r="F19" s="20" t="n">
        <v>620</v>
      </c>
      <c r="G19" s="20" t="n">
        <v>20</v>
      </c>
      <c r="H19" s="22" t="n">
        <f aca="false">D19/F19</f>
        <v>8196.37630645161</v>
      </c>
    </row>
    <row r="20" customFormat="false" ht="15" hidden="false" customHeight="false" outlineLevel="0" collapsed="false">
      <c r="A20" s="32" t="n">
        <v>16</v>
      </c>
      <c r="B20" s="25" t="s">
        <v>241</v>
      </c>
      <c r="C20" s="25" t="s">
        <v>102</v>
      </c>
      <c r="D20" s="18" t="n">
        <v>4945719.75</v>
      </c>
      <c r="E20" s="34" t="n">
        <f aca="false">D20/1_Overall!$B$5</f>
        <v>0.0036629535873652</v>
      </c>
      <c r="F20" s="20" t="n">
        <v>478</v>
      </c>
      <c r="G20" s="20" t="n">
        <v>21</v>
      </c>
      <c r="H20" s="22" t="n">
        <f aca="false">D20/F20</f>
        <v>10346.6940376569</v>
      </c>
    </row>
    <row r="21" customFormat="false" ht="15" hidden="false" customHeight="false" outlineLevel="0" collapsed="false">
      <c r="A21" s="32" t="n">
        <v>17</v>
      </c>
      <c r="B21" s="25" t="s">
        <v>242</v>
      </c>
      <c r="C21" s="25" t="s">
        <v>105</v>
      </c>
      <c r="D21" s="18" t="n">
        <v>4590143.54</v>
      </c>
      <c r="E21" s="34" t="n">
        <f aca="false">D21/1_Overall!$B$5</f>
        <v>0.00339960280732935</v>
      </c>
      <c r="F21" s="20" t="n">
        <v>5760</v>
      </c>
      <c r="G21" s="20" t="n">
        <v>58</v>
      </c>
      <c r="H21" s="22" t="n">
        <f aca="false">D21/F21</f>
        <v>796.899920138889</v>
      </c>
    </row>
    <row r="22" customFormat="false" ht="15" hidden="false" customHeight="false" outlineLevel="0" collapsed="false">
      <c r="A22" s="32" t="n">
        <v>18</v>
      </c>
      <c r="B22" s="25" t="s">
        <v>243</v>
      </c>
      <c r="C22" s="25" t="s">
        <v>104</v>
      </c>
      <c r="D22" s="18" t="n">
        <v>4441574.67</v>
      </c>
      <c r="E22" s="34" t="n">
        <f aca="false">D22/1_Overall!$B$5</f>
        <v>0.00328956808986739</v>
      </c>
      <c r="F22" s="20" t="n">
        <v>765</v>
      </c>
      <c r="G22" s="20" t="n">
        <v>72</v>
      </c>
      <c r="H22" s="22" t="n">
        <f aca="false">D22/F22</f>
        <v>5805.97996078431</v>
      </c>
    </row>
    <row r="23" customFormat="false" ht="15" hidden="false" customHeight="false" outlineLevel="0" collapsed="false">
      <c r="A23" s="32" t="n">
        <v>19</v>
      </c>
      <c r="B23" s="25" t="s">
        <v>244</v>
      </c>
      <c r="C23" s="25" t="s">
        <v>102</v>
      </c>
      <c r="D23" s="18" t="n">
        <v>4317130.64</v>
      </c>
      <c r="E23" s="34" t="n">
        <f aca="false">D23/1_Overall!$B$5</f>
        <v>0.00319740097786823</v>
      </c>
      <c r="F23" s="20" t="n">
        <v>4598</v>
      </c>
      <c r="G23" s="20" t="n">
        <v>53</v>
      </c>
      <c r="H23" s="22" t="n">
        <f aca="false">D23/F23</f>
        <v>938.914884732492</v>
      </c>
    </row>
    <row r="24" customFormat="false" ht="15" hidden="false" customHeight="false" outlineLevel="0" collapsed="false">
      <c r="A24" s="32" t="n">
        <v>20</v>
      </c>
      <c r="B24" s="25" t="s">
        <v>245</v>
      </c>
      <c r="C24" s="25" t="s">
        <v>102</v>
      </c>
      <c r="D24" s="18" t="n">
        <v>4301040.28</v>
      </c>
      <c r="E24" s="34" t="n">
        <f aca="false">D24/1_Overall!$B$5</f>
        <v>0.0031854839577249</v>
      </c>
      <c r="F24" s="20" t="n">
        <v>647</v>
      </c>
      <c r="G24" s="20" t="n">
        <v>22</v>
      </c>
      <c r="H24" s="22" t="n">
        <f aca="false">D24/F24</f>
        <v>6647.66658423493</v>
      </c>
    </row>
    <row r="26" customFormat="false" ht="15" hidden="false" customHeight="false" outlineLevel="0" collapsed="false">
      <c r="A26" s="12" t="s">
        <v>246</v>
      </c>
    </row>
    <row r="28" customFormat="false" ht="15" hidden="false" customHeight="false" outlineLevel="0" collapsed="false">
      <c r="A28" s="3" t="s">
        <v>247</v>
      </c>
    </row>
    <row r="29" customFormat="false" ht="31.5" hidden="false" customHeight="true" outlineLevel="0" collapsed="false">
      <c r="A29" s="24" t="s">
        <v>248</v>
      </c>
      <c r="B29" s="24" t="s">
        <v>98</v>
      </c>
      <c r="C29" s="24" t="s">
        <v>72</v>
      </c>
      <c r="D29" s="24" t="s">
        <v>249</v>
      </c>
      <c r="E29" s="24" t="s">
        <v>83</v>
      </c>
      <c r="F29" s="24" t="s">
        <v>149</v>
      </c>
    </row>
    <row r="30" customFormat="false" ht="15" hidden="false" customHeight="false" outlineLevel="0" collapsed="false">
      <c r="A30" s="25" t="s">
        <v>250</v>
      </c>
      <c r="B30" s="20" t="n">
        <v>4501</v>
      </c>
      <c r="C30" s="18" t="n">
        <v>9521442.06</v>
      </c>
      <c r="D30" s="26" t="n">
        <f aca="false">B30/B37</f>
        <v>0.261868745636491</v>
      </c>
      <c r="E30" s="26" t="n">
        <f aca="false">C30/C37</f>
        <v>0.00705187558404758</v>
      </c>
      <c r="F30" s="22" t="n">
        <f aca="false">C30/B30</f>
        <v>2115.40592312819</v>
      </c>
    </row>
    <row r="31" customFormat="false" ht="15" hidden="false" customHeight="false" outlineLevel="0" collapsed="false">
      <c r="A31" s="25" t="s">
        <v>251</v>
      </c>
      <c r="B31" s="20" t="n">
        <v>2307</v>
      </c>
      <c r="C31" s="18" t="n">
        <v>16774424.24</v>
      </c>
      <c r="D31" s="26" t="n">
        <f aca="false">B31/B37</f>
        <v>0.134221549918548</v>
      </c>
      <c r="E31" s="26" t="n">
        <f aca="false">C31/C37</f>
        <v>0.0124236593563341</v>
      </c>
      <c r="F31" s="22" t="n">
        <f aca="false">C31/B31</f>
        <v>7271.09850021673</v>
      </c>
    </row>
    <row r="32" customFormat="false" ht="15" hidden="false" customHeight="false" outlineLevel="0" collapsed="false">
      <c r="A32" s="25" t="s">
        <v>252</v>
      </c>
      <c r="B32" s="20" t="n">
        <v>3077</v>
      </c>
      <c r="C32" s="18" t="n">
        <v>50546688.88</v>
      </c>
      <c r="D32" s="26" t="n">
        <f aca="false">B32/B37</f>
        <v>0.179020246683733</v>
      </c>
      <c r="E32" s="26" t="n">
        <f aca="false">C32/C37</f>
        <v>0.0374364470130821</v>
      </c>
      <c r="F32" s="22" t="n">
        <f aca="false">C32/B32</f>
        <v>16427.2632044199</v>
      </c>
    </row>
    <row r="33" customFormat="false" ht="15" hidden="false" customHeight="false" outlineLevel="0" collapsed="false">
      <c r="A33" s="25" t="s">
        <v>253</v>
      </c>
      <c r="B33" s="20" t="n">
        <v>2538</v>
      </c>
      <c r="C33" s="18" t="n">
        <v>90959397.03</v>
      </c>
      <c r="D33" s="26" t="n">
        <f aca="false">B33/B37</f>
        <v>0.147661158948103</v>
      </c>
      <c r="E33" s="26" t="n">
        <f aca="false">C33/C37</f>
        <v>0.0673673532867717</v>
      </c>
      <c r="F33" s="22" t="n">
        <f aca="false">C33/B33</f>
        <v>35839.0059219858</v>
      </c>
    </row>
    <row r="34" customFormat="false" ht="15" hidden="false" customHeight="false" outlineLevel="0" collapsed="false">
      <c r="A34" s="25" t="s">
        <v>254</v>
      </c>
      <c r="B34" s="20" t="n">
        <v>2159</v>
      </c>
      <c r="C34" s="18" t="n">
        <v>153941172.43</v>
      </c>
      <c r="D34" s="26" t="n">
        <f aca="false">B34/B37</f>
        <v>0.125610891319525</v>
      </c>
      <c r="E34" s="26" t="n">
        <f aca="false">C34/C37</f>
        <v>0.11401361142545</v>
      </c>
      <c r="F34" s="22" t="n">
        <f aca="false">C34/B34</f>
        <v>71302.0715284854</v>
      </c>
    </row>
    <row r="35" customFormat="false" ht="15" hidden="false" customHeight="false" outlineLevel="0" collapsed="false">
      <c r="A35" s="25" t="s">
        <v>255</v>
      </c>
      <c r="B35" s="20" t="n">
        <v>2273</v>
      </c>
      <c r="C35" s="18" t="n">
        <v>455913632.45</v>
      </c>
      <c r="D35" s="26" t="n">
        <f aca="false">B35/B37</f>
        <v>0.132243425645799</v>
      </c>
      <c r="E35" s="26" t="n">
        <f aca="false">C35/C37</f>
        <v>0.3376637900907</v>
      </c>
      <c r="F35" s="22" t="n">
        <f aca="false">C35/B35</f>
        <v>200577.928926529</v>
      </c>
    </row>
    <row r="36" customFormat="false" ht="15" hidden="false" customHeight="false" outlineLevel="0" collapsed="false">
      <c r="A36" s="25" t="s">
        <v>256</v>
      </c>
      <c r="B36" s="20" t="n">
        <v>333</v>
      </c>
      <c r="C36" s="18" t="n">
        <v>572543192.77</v>
      </c>
      <c r="D36" s="26" t="n">
        <f aca="false">B36/B37</f>
        <v>0.0193739818478008</v>
      </c>
      <c r="E36" s="26" t="n">
        <f aca="false">C36/C37</f>
        <v>0.424043263243615</v>
      </c>
      <c r="F36" s="22" t="n">
        <f aca="false">C36/B36</f>
        <v>1719348.92723724</v>
      </c>
    </row>
    <row r="37" customFormat="false" ht="15" hidden="false" customHeight="false" outlineLevel="0" collapsed="false">
      <c r="A37" s="27" t="s">
        <v>80</v>
      </c>
      <c r="B37" s="31" t="n">
        <f aca="false">SUM(B30:B36)</f>
        <v>17188</v>
      </c>
      <c r="C37" s="28" t="n">
        <f aca="false">SUM(C30:C36)</f>
        <v>1350199949.86</v>
      </c>
      <c r="D37" s="30" t="n">
        <f aca="false">SUM(D30:D36)</f>
        <v>1</v>
      </c>
      <c r="E37" s="30" t="n">
        <f aca="false">SUM(E30:E36)</f>
        <v>1</v>
      </c>
      <c r="F37" s="28" t="n">
        <f aca="false">C37/B37</f>
        <v>78554.8027612288</v>
      </c>
    </row>
    <row r="39" customFormat="false" ht="15" hidden="false" customHeight="false" outlineLevel="0" collapsed="false">
      <c r="A39" s="3" t="s">
        <v>257</v>
      </c>
    </row>
    <row r="40" customFormat="false" ht="31.5" hidden="false" customHeight="true" outlineLevel="0" collapsed="false">
      <c r="A40" s="24" t="s">
        <v>258</v>
      </c>
      <c r="B40" s="24" t="s">
        <v>225</v>
      </c>
      <c r="D40" s="24" t="s">
        <v>259</v>
      </c>
      <c r="E40" s="24" t="s">
        <v>41</v>
      </c>
    </row>
    <row r="41" customFormat="false" ht="15" hidden="false" customHeight="false" outlineLevel="0" collapsed="false">
      <c r="A41" s="25" t="s">
        <v>260</v>
      </c>
      <c r="B41" s="36" t="n">
        <v>0.115910834959094</v>
      </c>
      <c r="D41" s="25" t="s">
        <v>261</v>
      </c>
      <c r="E41" s="20" t="n">
        <v>569</v>
      </c>
    </row>
    <row r="42" customFormat="false" ht="15" hidden="false" customHeight="false" outlineLevel="0" collapsed="false">
      <c r="A42" s="25" t="s">
        <v>262</v>
      </c>
      <c r="B42" s="36" t="n">
        <v>0.147328424957078</v>
      </c>
      <c r="D42" s="25" t="s">
        <v>263</v>
      </c>
      <c r="E42" s="20" t="n">
        <v>5535</v>
      </c>
    </row>
    <row r="43" customFormat="false" ht="15" hidden="false" customHeight="false" outlineLevel="0" collapsed="false">
      <c r="A43" s="25" t="s">
        <v>264</v>
      </c>
      <c r="B43" s="36" t="n">
        <v>0.350908825636623</v>
      </c>
      <c r="D43" s="25" t="s">
        <v>265</v>
      </c>
      <c r="E43" s="20" t="n">
        <v>6808</v>
      </c>
    </row>
    <row r="44" customFormat="false" ht="15" hidden="false" customHeight="false" outlineLevel="0" collapsed="false">
      <c r="A44" s="25" t="s">
        <v>266</v>
      </c>
      <c r="B44" s="36" t="n">
        <v>0.682149036144981</v>
      </c>
      <c r="D44" s="25" t="s">
        <v>267</v>
      </c>
      <c r="E44" s="20" t="n">
        <v>17111.745</v>
      </c>
    </row>
    <row r="45" customFormat="false" ht="15" hidden="false" customHeight="false" outlineLevel="0" collapsed="false">
      <c r="A45" s="25" t="s">
        <v>268</v>
      </c>
      <c r="B45" s="36" t="n">
        <v>0.81507306204841</v>
      </c>
      <c r="D45" s="25" t="s">
        <v>269</v>
      </c>
      <c r="E45" s="20" t="n">
        <v>78554.8027612288</v>
      </c>
    </row>
    <row r="46" customFormat="false" ht="15" hidden="false" customHeight="false" outlineLevel="0" collapsed="false">
      <c r="A46" s="25" t="s">
        <v>270</v>
      </c>
      <c r="B46" s="36" t="n">
        <v>0.0368734615603876</v>
      </c>
    </row>
    <row r="49" customFormat="false" ht="15" hidden="false" customHeight="false" outlineLevel="0" collapsed="false">
      <c r="A49" s="3" t="s">
        <v>271</v>
      </c>
    </row>
    <row r="50" customFormat="false" ht="31.5" hidden="false" customHeight="true" outlineLevel="0" collapsed="false">
      <c r="A50" s="24" t="s">
        <v>96</v>
      </c>
      <c r="B50" s="24" t="s">
        <v>98</v>
      </c>
      <c r="C50" s="24" t="s">
        <v>72</v>
      </c>
      <c r="D50" s="24" t="s">
        <v>272</v>
      </c>
      <c r="E50" s="24" t="s">
        <v>273</v>
      </c>
    </row>
    <row r="51" customFormat="false" ht="15" hidden="false" customHeight="false" outlineLevel="0" collapsed="false">
      <c r="A51" s="25" t="s">
        <v>102</v>
      </c>
      <c r="B51" s="20" t="n">
        <v>9583</v>
      </c>
      <c r="C51" s="18" t="n">
        <v>601183563.75</v>
      </c>
      <c r="D51" s="22" t="n">
        <f aca="false">C51/B51</f>
        <v>62734.3800219138</v>
      </c>
      <c r="E51" s="18" t="n">
        <v>11814.14</v>
      </c>
    </row>
    <row r="52" customFormat="false" ht="15" hidden="false" customHeight="false" outlineLevel="0" collapsed="false">
      <c r="A52" s="25" t="s">
        <v>103</v>
      </c>
      <c r="B52" s="20" t="n">
        <v>4815</v>
      </c>
      <c r="C52" s="18" t="n">
        <v>291946735.48</v>
      </c>
      <c r="D52" s="22" t="n">
        <f aca="false">C52/B52</f>
        <v>60632.7591858775</v>
      </c>
      <c r="E52" s="18" t="n">
        <v>18627.74</v>
      </c>
    </row>
    <row r="53" customFormat="false" ht="15" hidden="false" customHeight="false" outlineLevel="0" collapsed="false">
      <c r="A53" s="25" t="s">
        <v>104</v>
      </c>
      <c r="B53" s="20" t="n">
        <v>2262</v>
      </c>
      <c r="C53" s="18" t="n">
        <v>243068249.28</v>
      </c>
      <c r="D53" s="22" t="n">
        <f aca="false">C53/B53</f>
        <v>107457.227798409</v>
      </c>
      <c r="E53" s="18" t="n">
        <v>35268.08</v>
      </c>
    </row>
    <row r="54" customFormat="false" ht="15" hidden="false" customHeight="false" outlineLevel="0" collapsed="false">
      <c r="A54" s="25" t="s">
        <v>105</v>
      </c>
      <c r="B54" s="20" t="n">
        <v>172</v>
      </c>
      <c r="C54" s="18" t="n">
        <v>171073079</v>
      </c>
      <c r="D54" s="22" t="n">
        <f aca="false">C54/B54</f>
        <v>994610.924418605</v>
      </c>
      <c r="E54" s="18" t="n">
        <v>64043.375</v>
      </c>
    </row>
    <row r="55" customFormat="false" ht="15" hidden="false" customHeight="false" outlineLevel="0" collapsed="false">
      <c r="A55" s="25" t="s">
        <v>106</v>
      </c>
      <c r="B55" s="20" t="n">
        <v>326</v>
      </c>
      <c r="C55" s="18" t="n">
        <v>42810915.44</v>
      </c>
      <c r="D55" s="22" t="n">
        <f aca="false">C55/B55</f>
        <v>131321.826503067</v>
      </c>
      <c r="E55" s="18" t="n">
        <v>37879.84</v>
      </c>
    </row>
    <row r="56" customFormat="false" ht="15" hidden="false" customHeight="false" outlineLevel="0" collapsed="false">
      <c r="A56" s="25" t="s">
        <v>107</v>
      </c>
      <c r="B56" s="20" t="n">
        <v>30</v>
      </c>
      <c r="C56" s="18" t="n">
        <v>117406.91</v>
      </c>
      <c r="D56" s="22" t="n">
        <f aca="false">C56/B56</f>
        <v>3913.56366666667</v>
      </c>
      <c r="E56" s="18" t="n">
        <v>2245</v>
      </c>
    </row>
    <row r="59" customFormat="false" ht="15" hidden="false" customHeight="false" outlineLevel="0" collapsed="false">
      <c r="A59" s="3" t="s">
        <v>274</v>
      </c>
    </row>
    <row r="60" customFormat="false" ht="15" hidden="false" customHeight="false" outlineLevel="0" collapsed="false">
      <c r="A60" s="37" t="s">
        <v>275</v>
      </c>
      <c r="B60" s="37" t="s">
        <v>276</v>
      </c>
      <c r="C60" s="37" t="s">
        <v>277</v>
      </c>
    </row>
    <row r="61" customFormat="false" ht="61.5" hidden="false" customHeight="true" outlineLevel="0" collapsed="false">
      <c r="A61" s="38" t="s">
        <v>278</v>
      </c>
      <c r="B61" s="39" t="s">
        <v>279</v>
      </c>
      <c r="C61" s="39" t="s">
        <v>280</v>
      </c>
    </row>
    <row r="62" customFormat="false" ht="61.5" hidden="false" customHeight="true" outlineLevel="0" collapsed="false">
      <c r="A62" s="38" t="s">
        <v>10</v>
      </c>
      <c r="B62" s="39" t="s">
        <v>281</v>
      </c>
      <c r="C62" s="39" t="s">
        <v>282</v>
      </c>
    </row>
    <row r="63" customFormat="false" ht="61.5" hidden="false" customHeight="true" outlineLevel="0" collapsed="false">
      <c r="A63" s="38" t="s">
        <v>283</v>
      </c>
      <c r="B63" s="39" t="s">
        <v>284</v>
      </c>
      <c r="C63" s="39" t="s">
        <v>285</v>
      </c>
    </row>
    <row r="64" customFormat="false" ht="61.5" hidden="false" customHeight="true" outlineLevel="0" collapsed="false">
      <c r="A64" s="38" t="s">
        <v>286</v>
      </c>
      <c r="B64" s="39" t="s">
        <v>287</v>
      </c>
      <c r="C64" s="39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3"/>
  </cols>
  <sheetData>
    <row r="1" customFormat="false" ht="19.7" hidden="false" customHeight="false" outlineLevel="0" collapsed="false">
      <c r="A1" s="11" t="s">
        <v>289</v>
      </c>
    </row>
    <row r="2" customFormat="false" ht="15" hidden="false" customHeight="false" outlineLevel="0" collapsed="false">
      <c r="A2" s="12" t="s">
        <v>290</v>
      </c>
    </row>
    <row r="3" customFormat="false" ht="15" hidden="false" customHeight="false" outlineLevel="0" collapsed="false">
      <c r="A3" s="3" t="s">
        <v>291</v>
      </c>
    </row>
    <row r="4" customFormat="false" ht="31.5" hidden="false" customHeight="true" outlineLevel="0" collapsed="false">
      <c r="A4" s="24" t="s">
        <v>101</v>
      </c>
      <c r="B4" s="24" t="s">
        <v>292</v>
      </c>
      <c r="C4" s="24" t="s">
        <v>293</v>
      </c>
      <c r="D4" s="24" t="s">
        <v>294</v>
      </c>
      <c r="E4" s="24" t="s">
        <v>72</v>
      </c>
      <c r="F4" s="24" t="s">
        <v>73</v>
      </c>
      <c r="G4" s="24" t="s">
        <v>116</v>
      </c>
      <c r="H4" s="24" t="s">
        <v>117</v>
      </c>
      <c r="I4" s="24" t="s">
        <v>76</v>
      </c>
    </row>
    <row r="5" customFormat="false" ht="15" hidden="false" customHeight="false" outlineLevel="0" collapsed="false">
      <c r="A5" s="32" t="n">
        <v>1</v>
      </c>
      <c r="B5" s="25" t="s">
        <v>295</v>
      </c>
      <c r="C5" s="25" t="s">
        <v>296</v>
      </c>
      <c r="D5" s="25" t="s">
        <v>297</v>
      </c>
      <c r="E5" s="18" t="n">
        <v>55725029.75</v>
      </c>
      <c r="F5" s="17" t="n">
        <f aca="false">E5/10000000</f>
        <v>5.572502975</v>
      </c>
      <c r="G5" s="26" t="n">
        <f aca="false">E5/1_Overall!$B$5</f>
        <v>0.0412716870236723</v>
      </c>
      <c r="H5" s="26" t="n">
        <f aca="false">SUM(G$5:G5)</f>
        <v>0.0412716870236723</v>
      </c>
      <c r="I5" s="20" t="n">
        <v>1266</v>
      </c>
    </row>
    <row r="6" customFormat="false" ht="15" hidden="false" customHeight="false" outlineLevel="0" collapsed="false">
      <c r="A6" s="32" t="n">
        <v>2</v>
      </c>
      <c r="B6" s="25" t="s">
        <v>298</v>
      </c>
      <c r="C6" s="25" t="s">
        <v>296</v>
      </c>
      <c r="D6" s="25" t="s">
        <v>297</v>
      </c>
      <c r="E6" s="18" t="n">
        <v>47257543.66</v>
      </c>
      <c r="F6" s="17" t="n">
        <f aca="false">E6/10000000</f>
        <v>4.725754366</v>
      </c>
      <c r="G6" s="26" t="n">
        <f aca="false">E6/1_Overall!$B$5</f>
        <v>0.0350004039512074</v>
      </c>
      <c r="H6" s="26" t="n">
        <f aca="false">SUM(G$5:G6)</f>
        <v>0.0762720909748798</v>
      </c>
      <c r="I6" s="20" t="n">
        <v>1600</v>
      </c>
    </row>
    <row r="7" customFormat="false" ht="15" hidden="false" customHeight="false" outlineLevel="0" collapsed="false">
      <c r="A7" s="32" t="n">
        <v>3</v>
      </c>
      <c r="B7" s="25" t="s">
        <v>299</v>
      </c>
      <c r="C7" s="25" t="s">
        <v>300</v>
      </c>
      <c r="D7" s="25" t="s">
        <v>301</v>
      </c>
      <c r="E7" s="18" t="n">
        <v>43880051.7</v>
      </c>
      <c r="F7" s="17" t="n">
        <f aca="false">E7/10000000</f>
        <v>4.38800517</v>
      </c>
      <c r="G7" s="26" t="n">
        <f aca="false">E7/1_Overall!$B$5</f>
        <v>0.0324989285509527</v>
      </c>
      <c r="H7" s="26" t="n">
        <f aca="false">SUM(G$5:G7)</f>
        <v>0.108771019525832</v>
      </c>
      <c r="I7" s="20" t="n">
        <v>30376</v>
      </c>
    </row>
    <row r="8" customFormat="false" ht="15" hidden="false" customHeight="false" outlineLevel="0" collapsed="false">
      <c r="A8" s="32" t="n">
        <v>4</v>
      </c>
      <c r="B8" s="25" t="s">
        <v>302</v>
      </c>
      <c r="C8" s="25" t="s">
        <v>303</v>
      </c>
      <c r="D8" s="25" t="s">
        <v>301</v>
      </c>
      <c r="E8" s="18" t="n">
        <v>41630915.99</v>
      </c>
      <c r="F8" s="17" t="n">
        <f aca="false">E8/10000000</f>
        <v>4.163091599</v>
      </c>
      <c r="G8" s="26" t="n">
        <f aca="false">E8/1_Overall!$B$5</f>
        <v>0.030833148819415</v>
      </c>
      <c r="H8" s="26" t="n">
        <f aca="false">SUM(G$5:G8)</f>
        <v>0.139604168345247</v>
      </c>
      <c r="I8" s="20" t="n">
        <v>95668</v>
      </c>
    </row>
    <row r="9" customFormat="false" ht="15" hidden="false" customHeight="false" outlineLevel="0" collapsed="false">
      <c r="A9" s="32" t="n">
        <v>5</v>
      </c>
      <c r="B9" s="25" t="s">
        <v>304</v>
      </c>
      <c r="C9" s="25" t="s">
        <v>305</v>
      </c>
      <c r="D9" s="25" t="s">
        <v>301</v>
      </c>
      <c r="E9" s="18" t="n">
        <v>35566497.7</v>
      </c>
      <c r="F9" s="17" t="n">
        <f aca="false">E9/10000000</f>
        <v>3.55664977</v>
      </c>
      <c r="G9" s="26" t="n">
        <f aca="false">E9/1_Overall!$B$5</f>
        <v>0.0263416523631836</v>
      </c>
      <c r="H9" s="26" t="n">
        <f aca="false">SUM(G$5:G9)</f>
        <v>0.165945820708431</v>
      </c>
      <c r="I9" s="20" t="n">
        <v>18977</v>
      </c>
    </row>
    <row r="10" customFormat="false" ht="15" hidden="false" customHeight="false" outlineLevel="0" collapsed="false">
      <c r="A10" s="32" t="n">
        <v>6</v>
      </c>
      <c r="B10" s="25" t="s">
        <v>306</v>
      </c>
      <c r="C10" s="25" t="s">
        <v>296</v>
      </c>
      <c r="D10" s="25" t="s">
        <v>297</v>
      </c>
      <c r="E10" s="18" t="n">
        <v>34975316.18</v>
      </c>
      <c r="F10" s="17" t="n">
        <f aca="false">E10/10000000</f>
        <v>3.497531618</v>
      </c>
      <c r="G10" s="26" t="n">
        <f aca="false">E10/1_Overall!$B$5</f>
        <v>0.0259038049761641</v>
      </c>
      <c r="H10" s="26" t="n">
        <f aca="false">SUM(G$5:G10)</f>
        <v>0.191849625684595</v>
      </c>
      <c r="I10" s="20" t="n">
        <v>1180</v>
      </c>
    </row>
    <row r="11" customFormat="false" ht="15" hidden="false" customHeight="false" outlineLevel="0" collapsed="false">
      <c r="A11" s="32" t="n">
        <v>7</v>
      </c>
      <c r="B11" s="25" t="s">
        <v>307</v>
      </c>
      <c r="C11" s="25" t="s">
        <v>308</v>
      </c>
      <c r="D11" s="25" t="s">
        <v>301</v>
      </c>
      <c r="E11" s="18" t="n">
        <v>34522802.34</v>
      </c>
      <c r="F11" s="17" t="n">
        <f aca="false">E11/10000000</f>
        <v>3.452280234</v>
      </c>
      <c r="G11" s="26" t="n">
        <f aca="false">E11/1_Overall!$B$5</f>
        <v>0.0255686591779089</v>
      </c>
      <c r="H11" s="26" t="n">
        <f aca="false">SUM(G$5:G11)</f>
        <v>0.217418284862504</v>
      </c>
      <c r="I11" s="20" t="n">
        <v>16392</v>
      </c>
    </row>
    <row r="12" customFormat="false" ht="15" hidden="false" customHeight="false" outlineLevel="0" collapsed="false">
      <c r="A12" s="32" t="n">
        <v>8</v>
      </c>
      <c r="B12" s="25" t="s">
        <v>309</v>
      </c>
      <c r="C12" s="25" t="s">
        <v>303</v>
      </c>
      <c r="D12" s="25" t="s">
        <v>301</v>
      </c>
      <c r="E12" s="18" t="n">
        <v>32433226.95</v>
      </c>
      <c r="F12" s="17" t="n">
        <f aca="false">E12/10000000</f>
        <v>3.243322695</v>
      </c>
      <c r="G12" s="26" t="n">
        <f aca="false">E12/1_Overall!$B$5</f>
        <v>0.0240210547729341</v>
      </c>
      <c r="H12" s="26" t="n">
        <f aca="false">SUM(G$5:G12)</f>
        <v>0.241439339635438</v>
      </c>
      <c r="I12" s="20" t="n">
        <v>125182</v>
      </c>
    </row>
    <row r="13" customFormat="false" ht="15" hidden="false" customHeight="false" outlineLevel="0" collapsed="false">
      <c r="A13" s="32" t="n">
        <v>9</v>
      </c>
      <c r="B13" s="25" t="s">
        <v>310</v>
      </c>
      <c r="C13" s="25" t="s">
        <v>311</v>
      </c>
      <c r="D13" s="25" t="s">
        <v>301</v>
      </c>
      <c r="E13" s="18" t="n">
        <v>30331454.02</v>
      </c>
      <c r="F13" s="17" t="n">
        <f aca="false">E13/10000000</f>
        <v>3.033145402</v>
      </c>
      <c r="G13" s="26" t="n">
        <f aca="false">E13/1_Overall!$B$5</f>
        <v>0.0224644164911612</v>
      </c>
      <c r="H13" s="26" t="n">
        <f aca="false">SUM(G$5:G13)</f>
        <v>0.263903756126599</v>
      </c>
      <c r="I13" s="20" t="n">
        <v>85803</v>
      </c>
    </row>
    <row r="14" customFormat="false" ht="15" hidden="false" customHeight="false" outlineLevel="0" collapsed="false">
      <c r="A14" s="32" t="n">
        <v>10</v>
      </c>
      <c r="B14" s="25" t="s">
        <v>312</v>
      </c>
      <c r="C14" s="25" t="s">
        <v>308</v>
      </c>
      <c r="D14" s="25" t="s">
        <v>301</v>
      </c>
      <c r="E14" s="18" t="n">
        <v>25949558.97</v>
      </c>
      <c r="F14" s="17" t="n">
        <f aca="false">E14/10000000</f>
        <v>2.594955897</v>
      </c>
      <c r="G14" s="26" t="n">
        <f aca="false">E14/1_Overall!$B$5</f>
        <v>0.0192190489806274</v>
      </c>
      <c r="H14" s="26" t="n">
        <f aca="false">SUM(G$5:G14)</f>
        <v>0.283122805107227</v>
      </c>
      <c r="I14" s="20" t="n">
        <v>2940</v>
      </c>
    </row>
    <row r="15" customFormat="false" ht="15" hidden="false" customHeight="false" outlineLevel="0" collapsed="false">
      <c r="A15" s="32" t="n">
        <v>11</v>
      </c>
      <c r="B15" s="25" t="s">
        <v>313</v>
      </c>
      <c r="C15" s="25" t="s">
        <v>303</v>
      </c>
      <c r="D15" s="25" t="s">
        <v>301</v>
      </c>
      <c r="E15" s="18" t="n">
        <v>25946402.47</v>
      </c>
      <c r="F15" s="17" t="n">
        <f aca="false">E15/10000000</f>
        <v>2.594640247</v>
      </c>
      <c r="G15" s="26" t="n">
        <f aca="false">E15/1_Overall!$B$5</f>
        <v>0.0192167111787334</v>
      </c>
      <c r="H15" s="26" t="n">
        <f aca="false">SUM(G$5:G15)</f>
        <v>0.30233951628596</v>
      </c>
      <c r="I15" s="20" t="n">
        <v>45616</v>
      </c>
    </row>
    <row r="16" customFormat="false" ht="15" hidden="false" customHeight="false" outlineLevel="0" collapsed="false">
      <c r="A16" s="32" t="n">
        <v>12</v>
      </c>
      <c r="B16" s="25" t="s">
        <v>314</v>
      </c>
      <c r="C16" s="25" t="s">
        <v>315</v>
      </c>
      <c r="D16" s="25" t="s">
        <v>301</v>
      </c>
      <c r="E16" s="18" t="n">
        <v>25687213.84</v>
      </c>
      <c r="F16" s="17" t="n">
        <f aca="false">E16/10000000</f>
        <v>2.568721384</v>
      </c>
      <c r="G16" s="26" t="n">
        <f aca="false">E16/1_Overall!$B$5</f>
        <v>0.0190247480328106</v>
      </c>
      <c r="H16" s="26" t="n">
        <f aca="false">SUM(G$5:G16)</f>
        <v>0.321364264318771</v>
      </c>
      <c r="I16" s="20" t="n">
        <v>12574</v>
      </c>
    </row>
    <row r="17" customFormat="false" ht="15" hidden="false" customHeight="false" outlineLevel="0" collapsed="false">
      <c r="A17" s="32" t="n">
        <v>13</v>
      </c>
      <c r="B17" s="25" t="s">
        <v>316</v>
      </c>
      <c r="C17" s="25" t="s">
        <v>305</v>
      </c>
      <c r="D17" s="25" t="s">
        <v>301</v>
      </c>
      <c r="E17" s="18" t="n">
        <v>25607728.89</v>
      </c>
      <c r="F17" s="17" t="n">
        <f aca="false">E17/10000000</f>
        <v>2.560772889</v>
      </c>
      <c r="G17" s="26" t="n">
        <f aca="false">E17/1_Overall!$B$5</f>
        <v>0.0189658790112199</v>
      </c>
      <c r="H17" s="26" t="n">
        <f aca="false">SUM(G$5:G17)</f>
        <v>0.340330143329991</v>
      </c>
      <c r="I17" s="20" t="n">
        <v>7684</v>
      </c>
    </row>
    <row r="18" customFormat="false" ht="15" hidden="false" customHeight="false" outlineLevel="0" collapsed="false">
      <c r="A18" s="32" t="n">
        <v>14</v>
      </c>
      <c r="B18" s="25" t="s">
        <v>317</v>
      </c>
      <c r="C18" s="25" t="s">
        <v>303</v>
      </c>
      <c r="D18" s="25" t="s">
        <v>301</v>
      </c>
      <c r="E18" s="18" t="n">
        <v>24385455.84</v>
      </c>
      <c r="F18" s="17" t="n">
        <f aca="false">E18/10000000</f>
        <v>2.438545584</v>
      </c>
      <c r="G18" s="26" t="n">
        <f aca="false">E18/1_Overall!$B$5</f>
        <v>0.0180606256447636</v>
      </c>
      <c r="H18" s="26" t="n">
        <f aca="false">SUM(G$5:G18)</f>
        <v>0.358390768974754</v>
      </c>
      <c r="I18" s="20" t="n">
        <v>47505</v>
      </c>
    </row>
    <row r="19" customFormat="false" ht="15" hidden="false" customHeight="false" outlineLevel="0" collapsed="false">
      <c r="A19" s="32" t="n">
        <v>15</v>
      </c>
      <c r="B19" s="25" t="s">
        <v>318</v>
      </c>
      <c r="C19" s="25" t="s">
        <v>319</v>
      </c>
      <c r="D19" s="25" t="s">
        <v>301</v>
      </c>
      <c r="E19" s="18" t="n">
        <v>22024554.23</v>
      </c>
      <c r="F19" s="17" t="n">
        <f aca="false">E19/10000000</f>
        <v>2.202455423</v>
      </c>
      <c r="G19" s="26" t="n">
        <f aca="false">E19/1_Overall!$B$5</f>
        <v>0.0163120686178989</v>
      </c>
      <c r="H19" s="26" t="n">
        <f aca="false">SUM(G$5:G19)</f>
        <v>0.374702837592653</v>
      </c>
      <c r="I19" s="20" t="n">
        <v>3776</v>
      </c>
    </row>
    <row r="20" customFormat="false" ht="15" hidden="false" customHeight="false" outlineLevel="0" collapsed="false">
      <c r="A20" s="32" t="n">
        <v>16</v>
      </c>
      <c r="B20" s="25" t="s">
        <v>320</v>
      </c>
      <c r="C20" s="25" t="s">
        <v>321</v>
      </c>
      <c r="D20" s="25" t="s">
        <v>301</v>
      </c>
      <c r="E20" s="18" t="n">
        <v>21289368.74</v>
      </c>
      <c r="F20" s="17" t="n">
        <f aca="false">E20/10000000</f>
        <v>2.128936874</v>
      </c>
      <c r="G20" s="26" t="n">
        <f aca="false">E20/1_Overall!$B$5</f>
        <v>0.0157675674200754</v>
      </c>
      <c r="H20" s="26" t="n">
        <f aca="false">SUM(G$5:G20)</f>
        <v>0.390470405012729</v>
      </c>
      <c r="I20" s="20" t="n">
        <v>4861</v>
      </c>
    </row>
    <row r="21" customFormat="false" ht="15" hidden="false" customHeight="false" outlineLevel="0" collapsed="false">
      <c r="A21" s="32" t="n">
        <v>17</v>
      </c>
      <c r="B21" s="25" t="s">
        <v>322</v>
      </c>
      <c r="C21" s="25" t="s">
        <v>308</v>
      </c>
      <c r="D21" s="25" t="s">
        <v>301</v>
      </c>
      <c r="E21" s="18" t="n">
        <v>20765217.38</v>
      </c>
      <c r="F21" s="17" t="n">
        <f aca="false">E21/10000000</f>
        <v>2.076521738</v>
      </c>
      <c r="G21" s="26" t="n">
        <f aca="false">E21/1_Overall!$B$5</f>
        <v>0.015379364650512</v>
      </c>
      <c r="H21" s="26" t="n">
        <f aca="false">SUM(G$5:G21)</f>
        <v>0.405849769663241</v>
      </c>
      <c r="I21" s="20" t="n">
        <v>17141</v>
      </c>
    </row>
    <row r="22" customFormat="false" ht="15" hidden="false" customHeight="false" outlineLevel="0" collapsed="false">
      <c r="A22" s="32" t="n">
        <v>18</v>
      </c>
      <c r="B22" s="25" t="s">
        <v>323</v>
      </c>
      <c r="C22" s="25" t="s">
        <v>296</v>
      </c>
      <c r="D22" s="25" t="s">
        <v>297</v>
      </c>
      <c r="E22" s="18" t="n">
        <v>19876831.93</v>
      </c>
      <c r="F22" s="17" t="n">
        <f aca="false">E22/10000000</f>
        <v>1.987683193</v>
      </c>
      <c r="G22" s="26" t="n">
        <f aca="false">E22/1_Overall!$B$5</f>
        <v>0.0147213988061998</v>
      </c>
      <c r="H22" s="26" t="n">
        <f aca="false">SUM(G$5:G22)</f>
        <v>0.42057116846944</v>
      </c>
      <c r="I22" s="20" t="n">
        <v>2787</v>
      </c>
    </row>
    <row r="23" customFormat="false" ht="15" hidden="false" customHeight="false" outlineLevel="0" collapsed="false">
      <c r="A23" s="32" t="n">
        <v>19</v>
      </c>
      <c r="B23" s="25" t="s">
        <v>324</v>
      </c>
      <c r="C23" s="25" t="s">
        <v>325</v>
      </c>
      <c r="D23" s="25" t="s">
        <v>301</v>
      </c>
      <c r="E23" s="18" t="n">
        <v>19362388.7</v>
      </c>
      <c r="F23" s="17" t="n">
        <f aca="false">E23/10000000</f>
        <v>1.93623887</v>
      </c>
      <c r="G23" s="26" t="n">
        <f aca="false">E23/1_Overall!$B$5</f>
        <v>0.0143403861791045</v>
      </c>
      <c r="H23" s="26" t="n">
        <f aca="false">SUM(G$5:G23)</f>
        <v>0.434911554648545</v>
      </c>
      <c r="I23" s="20" t="n">
        <v>110478</v>
      </c>
    </row>
    <row r="24" customFormat="false" ht="15" hidden="false" customHeight="false" outlineLevel="0" collapsed="false">
      <c r="A24" s="32" t="n">
        <v>20</v>
      </c>
      <c r="B24" s="25" t="s">
        <v>326</v>
      </c>
      <c r="C24" s="25" t="s">
        <v>303</v>
      </c>
      <c r="D24" s="25" t="s">
        <v>301</v>
      </c>
      <c r="E24" s="18" t="n">
        <v>18781135.18</v>
      </c>
      <c r="F24" s="17" t="n">
        <f aca="false">E24/10000000</f>
        <v>1.878113518</v>
      </c>
      <c r="G24" s="26" t="n">
        <f aca="false">E24/1_Overall!$B$5</f>
        <v>0.0139098917771012</v>
      </c>
      <c r="H24" s="26" t="n">
        <f aca="false">SUM(G$5:G24)</f>
        <v>0.448821446425646</v>
      </c>
      <c r="I24" s="20" t="n">
        <v>16715</v>
      </c>
    </row>
    <row r="26" customFormat="false" ht="15" hidden="false" customHeight="false" outlineLevel="0" collapsed="false">
      <c r="A26" s="12" t="s">
        <v>327</v>
      </c>
    </row>
    <row r="28" customFormat="false" ht="15" hidden="false" customHeight="false" outlineLevel="0" collapsed="false">
      <c r="A28" s="3" t="s">
        <v>328</v>
      </c>
    </row>
    <row r="29" customFormat="false" ht="31.5" hidden="false" customHeight="true" outlineLevel="0" collapsed="false">
      <c r="A29" s="24" t="s">
        <v>292</v>
      </c>
      <c r="B29" s="24" t="s">
        <v>75</v>
      </c>
      <c r="C29" s="24" t="s">
        <v>72</v>
      </c>
      <c r="D29" s="24" t="s">
        <v>329</v>
      </c>
    </row>
    <row r="30" customFormat="false" ht="15" hidden="false" customHeight="false" outlineLevel="0" collapsed="false">
      <c r="A30" s="25" t="s">
        <v>330</v>
      </c>
      <c r="B30" s="20" t="n">
        <v>262981</v>
      </c>
      <c r="C30" s="18" t="n">
        <v>16086022.2</v>
      </c>
      <c r="D30" s="22" t="n">
        <f aca="false">C30/B30</f>
        <v>61.168001490602</v>
      </c>
    </row>
    <row r="31" customFormat="false" ht="15" hidden="false" customHeight="false" outlineLevel="0" collapsed="false">
      <c r="A31" s="25" t="s">
        <v>309</v>
      </c>
      <c r="B31" s="20" t="n">
        <v>125182</v>
      </c>
      <c r="C31" s="18" t="n">
        <v>32433226.95</v>
      </c>
      <c r="D31" s="22" t="n">
        <f aca="false">C31/B31</f>
        <v>259.0885826237</v>
      </c>
    </row>
    <row r="32" customFormat="false" ht="15" hidden="false" customHeight="false" outlineLevel="0" collapsed="false">
      <c r="A32" s="25" t="s">
        <v>324</v>
      </c>
      <c r="B32" s="20" t="n">
        <v>110478</v>
      </c>
      <c r="C32" s="18" t="n">
        <v>19362388.7</v>
      </c>
      <c r="D32" s="22" t="n">
        <f aca="false">C32/B32</f>
        <v>175.260130523724</v>
      </c>
    </row>
    <row r="33" customFormat="false" ht="15" hidden="false" customHeight="false" outlineLevel="0" collapsed="false">
      <c r="A33" s="25" t="s">
        <v>302</v>
      </c>
      <c r="B33" s="20" t="n">
        <v>95668</v>
      </c>
      <c r="C33" s="18" t="n">
        <v>41630915.99</v>
      </c>
      <c r="D33" s="22" t="n">
        <f aca="false">C33/B33</f>
        <v>435.160304281473</v>
      </c>
    </row>
    <row r="34" customFormat="false" ht="15" hidden="false" customHeight="false" outlineLevel="0" collapsed="false">
      <c r="A34" s="25" t="s">
        <v>331</v>
      </c>
      <c r="B34" s="20" t="n">
        <v>90716</v>
      </c>
      <c r="C34" s="18" t="n">
        <v>15621882.1</v>
      </c>
      <c r="D34" s="22" t="n">
        <f aca="false">C34/B34</f>
        <v>172.206469641519</v>
      </c>
    </row>
    <row r="35" customFormat="false" ht="15" hidden="false" customHeight="false" outlineLevel="0" collapsed="false">
      <c r="A35" s="25" t="s">
        <v>310</v>
      </c>
      <c r="B35" s="20" t="n">
        <v>85803</v>
      </c>
      <c r="C35" s="18" t="n">
        <v>30331454.02</v>
      </c>
      <c r="D35" s="22" t="n">
        <f aca="false">C35/B35</f>
        <v>353.50108993858</v>
      </c>
    </row>
    <row r="36" customFormat="false" ht="15" hidden="false" customHeight="false" outlineLevel="0" collapsed="false">
      <c r="A36" s="25" t="s">
        <v>332</v>
      </c>
      <c r="B36" s="20" t="n">
        <v>72851</v>
      </c>
      <c r="C36" s="18" t="n">
        <v>16032220.98</v>
      </c>
      <c r="D36" s="22" t="n">
        <f aca="false">C36/B36</f>
        <v>220.068646689819</v>
      </c>
    </row>
    <row r="37" customFormat="false" ht="15" hidden="false" customHeight="false" outlineLevel="0" collapsed="false">
      <c r="A37" s="25" t="s">
        <v>333</v>
      </c>
      <c r="B37" s="20" t="n">
        <v>50288</v>
      </c>
      <c r="C37" s="18" t="n">
        <v>3529823.15</v>
      </c>
      <c r="D37" s="22" t="n">
        <f aca="false">C37/B37</f>
        <v>70.1921561804009</v>
      </c>
    </row>
    <row r="38" customFormat="false" ht="15" hidden="false" customHeight="false" outlineLevel="0" collapsed="false">
      <c r="A38" s="25" t="s">
        <v>317</v>
      </c>
      <c r="B38" s="20" t="n">
        <v>47505</v>
      </c>
      <c r="C38" s="18" t="n">
        <v>24385455.84</v>
      </c>
      <c r="D38" s="22" t="n">
        <f aca="false">C38/B38</f>
        <v>513.323983580676</v>
      </c>
    </row>
    <row r="39" customFormat="false" ht="15" hidden="false" customHeight="false" outlineLevel="0" collapsed="false">
      <c r="A39" s="25" t="s">
        <v>334</v>
      </c>
      <c r="B39" s="20" t="n">
        <v>46026</v>
      </c>
      <c r="C39" s="18" t="n">
        <v>2786554.06</v>
      </c>
      <c r="D39" s="22" t="n">
        <f aca="false">C39/B39</f>
        <v>60.5430421935428</v>
      </c>
    </row>
    <row r="41" customFormat="false" ht="15" hidden="false" customHeight="false" outlineLevel="0" collapsed="false">
      <c r="A41" s="12" t="s">
        <v>335</v>
      </c>
    </row>
    <row r="43" customFormat="false" ht="15" hidden="false" customHeight="false" outlineLevel="0" collapsed="false">
      <c r="A43" s="3" t="s">
        <v>336</v>
      </c>
    </row>
    <row r="44" customFormat="false" ht="31.5" hidden="false" customHeight="true" outlineLevel="0" collapsed="false">
      <c r="A44" s="24" t="s">
        <v>293</v>
      </c>
      <c r="B44" s="24" t="s">
        <v>294</v>
      </c>
      <c r="C44" s="24" t="s">
        <v>72</v>
      </c>
      <c r="D44" s="24" t="s">
        <v>116</v>
      </c>
      <c r="E44" s="24" t="s">
        <v>117</v>
      </c>
      <c r="F44" s="24" t="s">
        <v>75</v>
      </c>
      <c r="G44" s="24" t="s">
        <v>77</v>
      </c>
    </row>
    <row r="45" customFormat="false" ht="15" hidden="false" customHeight="false" outlineLevel="0" collapsed="false">
      <c r="A45" s="25" t="s">
        <v>296</v>
      </c>
      <c r="B45" s="25" t="s">
        <v>297</v>
      </c>
      <c r="C45" s="18" t="n">
        <v>284416220.3</v>
      </c>
      <c r="D45" s="26" t="n">
        <f aca="false">C45/1_Overall!$B$5</f>
        <v>0.210647482492864</v>
      </c>
      <c r="E45" s="26" t="n">
        <f aca="false">SUM(D$45:D45)</f>
        <v>0.210647482492864</v>
      </c>
      <c r="F45" s="20" t="n">
        <v>190311</v>
      </c>
      <c r="G45" s="22" t="n">
        <f aca="false">C45/F45</f>
        <v>1494.4812454351</v>
      </c>
    </row>
    <row r="46" customFormat="false" ht="15" hidden="false" customHeight="false" outlineLevel="0" collapsed="false">
      <c r="A46" s="25" t="s">
        <v>303</v>
      </c>
      <c r="B46" s="25" t="s">
        <v>301</v>
      </c>
      <c r="C46" s="18" t="n">
        <v>200356140.25</v>
      </c>
      <c r="D46" s="26" t="n">
        <f aca="false">C46/1_Overall!$B$5</f>
        <v>0.148389977551676</v>
      </c>
      <c r="E46" s="26" t="n">
        <f aca="false">SUM(D$45:D46)</f>
        <v>0.35903746004454</v>
      </c>
      <c r="F46" s="20" t="n">
        <v>261868</v>
      </c>
      <c r="G46" s="22" t="n">
        <f aca="false">C46/F46</f>
        <v>765.103564582156</v>
      </c>
    </row>
    <row r="47" customFormat="false" ht="15" hidden="false" customHeight="false" outlineLevel="0" collapsed="false">
      <c r="A47" s="25" t="s">
        <v>337</v>
      </c>
      <c r="B47" s="25" t="s">
        <v>301</v>
      </c>
      <c r="C47" s="18" t="n">
        <v>125666951.66</v>
      </c>
      <c r="D47" s="26" t="n">
        <f aca="false">C47/1_Overall!$B$5</f>
        <v>0.0930728457463135</v>
      </c>
      <c r="E47" s="26" t="n">
        <f aca="false">SUM(D$45:D47)</f>
        <v>0.452110305790854</v>
      </c>
      <c r="F47" s="20" t="n">
        <v>18610</v>
      </c>
      <c r="G47" s="22" t="n">
        <f aca="false">C47/F47</f>
        <v>6752.65726276196</v>
      </c>
    </row>
    <row r="48" customFormat="false" ht="15" hidden="false" customHeight="false" outlineLevel="0" collapsed="false">
      <c r="A48" s="25" t="s">
        <v>308</v>
      </c>
      <c r="B48" s="25" t="s">
        <v>301</v>
      </c>
      <c r="C48" s="18" t="n">
        <v>106264874.19</v>
      </c>
      <c r="D48" s="26" t="n">
        <f aca="false">C48/1_Overall!$B$5</f>
        <v>0.0787030648320039</v>
      </c>
      <c r="E48" s="26" t="n">
        <f aca="false">SUM(D$45:D48)</f>
        <v>0.530813370622858</v>
      </c>
      <c r="F48" s="20" t="n">
        <v>67582</v>
      </c>
      <c r="G48" s="22" t="n">
        <f aca="false">C48/F48</f>
        <v>1572.38427673049</v>
      </c>
    </row>
    <row r="49" customFormat="false" ht="15" hidden="false" customHeight="false" outlineLevel="0" collapsed="false">
      <c r="A49" s="25" t="s">
        <v>305</v>
      </c>
      <c r="B49" s="25" t="s">
        <v>301</v>
      </c>
      <c r="C49" s="18" t="n">
        <v>92312082.24</v>
      </c>
      <c r="D49" s="26" t="n">
        <f aca="false">C49/1_Overall!$B$5</f>
        <v>0.0683691939475866</v>
      </c>
      <c r="E49" s="26" t="n">
        <f aca="false">SUM(D$45:D49)</f>
        <v>0.599182564570444</v>
      </c>
      <c r="F49" s="20" t="n">
        <v>114764</v>
      </c>
      <c r="G49" s="22" t="n">
        <f aca="false">C49/F49</f>
        <v>804.36445435851</v>
      </c>
    </row>
    <row r="50" customFormat="false" ht="15" hidden="false" customHeight="false" outlineLevel="0" collapsed="false">
      <c r="A50" s="25" t="s">
        <v>315</v>
      </c>
      <c r="B50" s="25" t="s">
        <v>301</v>
      </c>
      <c r="C50" s="18" t="n">
        <v>78095286.59</v>
      </c>
      <c r="D50" s="26" t="n">
        <f aca="false">C50/1_Overall!$B$5</f>
        <v>0.0578397937269199</v>
      </c>
      <c r="E50" s="26" t="n">
        <f aca="false">SUM(D$45:D50)</f>
        <v>0.657022358297364</v>
      </c>
      <c r="F50" s="20" t="n">
        <v>64255</v>
      </c>
      <c r="G50" s="22" t="n">
        <f aca="false">C50/F50</f>
        <v>1215.39625850128</v>
      </c>
    </row>
    <row r="51" customFormat="false" ht="15" hidden="false" customHeight="false" outlineLevel="0" collapsed="false">
      <c r="A51" s="25" t="s">
        <v>325</v>
      </c>
      <c r="B51" s="25" t="s">
        <v>301</v>
      </c>
      <c r="C51" s="18" t="n">
        <v>64079966.22</v>
      </c>
      <c r="D51" s="26" t="n">
        <f aca="false">C51/1_Overall!$B$5</f>
        <v>0.0474596123534476</v>
      </c>
      <c r="E51" s="26" t="n">
        <f aca="false">SUM(D$45:D51)</f>
        <v>0.704481970650812</v>
      </c>
      <c r="F51" s="20" t="n">
        <v>149898</v>
      </c>
      <c r="G51" s="22" t="n">
        <f aca="false">C51/F51</f>
        <v>427.490468318457</v>
      </c>
    </row>
    <row r="52" customFormat="false" ht="15" hidden="false" customHeight="false" outlineLevel="0" collapsed="false">
      <c r="A52" s="25" t="s">
        <v>300</v>
      </c>
      <c r="B52" s="25" t="s">
        <v>301</v>
      </c>
      <c r="C52" s="18" t="n">
        <v>48183086.66</v>
      </c>
      <c r="D52" s="26" t="n">
        <f aca="false">C52/1_Overall!$B$5</f>
        <v>0.0356858898306107</v>
      </c>
      <c r="E52" s="26" t="n">
        <f aca="false">SUM(D$45:D52)</f>
        <v>0.740167860481422</v>
      </c>
      <c r="F52" s="20" t="n">
        <v>26844</v>
      </c>
      <c r="G52" s="22" t="n">
        <f aca="false">C52/F52</f>
        <v>1794.9294687826</v>
      </c>
    </row>
    <row r="53" customFormat="false" ht="15" hidden="false" customHeight="false" outlineLevel="0" collapsed="false">
      <c r="A53" s="25" t="s">
        <v>319</v>
      </c>
      <c r="B53" s="25" t="s">
        <v>301</v>
      </c>
      <c r="C53" s="18" t="n">
        <v>45881621.08</v>
      </c>
      <c r="D53" s="26" t="n">
        <f aca="false">C53/1_Overall!$B$5</f>
        <v>0.0339813529727633</v>
      </c>
      <c r="E53" s="26" t="n">
        <f aca="false">SUM(D$45:D53)</f>
        <v>0.774149213454186</v>
      </c>
      <c r="F53" s="20" t="n">
        <v>10879</v>
      </c>
      <c r="G53" s="22" t="n">
        <f aca="false">C53/F53</f>
        <v>4217.44839415388</v>
      </c>
    </row>
    <row r="54" customFormat="false" ht="15" hidden="false" customHeight="false" outlineLevel="0" collapsed="false">
      <c r="A54" s="25" t="s">
        <v>321</v>
      </c>
      <c r="B54" s="25" t="s">
        <v>301</v>
      </c>
      <c r="C54" s="18" t="n">
        <v>44643569.43</v>
      </c>
      <c r="D54" s="26" t="n">
        <f aca="false">C54/1_Overall!$B$5</f>
        <v>0.0330644134852982</v>
      </c>
      <c r="E54" s="26" t="n">
        <f aca="false">SUM(D$45:D54)</f>
        <v>0.807213626939484</v>
      </c>
      <c r="F54" s="20" t="n">
        <v>7714</v>
      </c>
      <c r="G54" s="22" t="n">
        <f aca="false">C54/F54</f>
        <v>5787.34371661913</v>
      </c>
    </row>
    <row r="55" customFormat="false" ht="15" hidden="false" customHeight="false" outlineLevel="0" collapsed="false">
      <c r="A55" s="25" t="s">
        <v>338</v>
      </c>
      <c r="B55" s="25" t="s">
        <v>297</v>
      </c>
      <c r="C55" s="18" t="n">
        <v>43537983.33</v>
      </c>
      <c r="D55" s="26" t="n">
        <f aca="false">C55/1_Overall!$B$5</f>
        <v>0.0322455820965735</v>
      </c>
      <c r="E55" s="26" t="n">
        <f aca="false">SUM(D$45:D55)</f>
        <v>0.839459209036057</v>
      </c>
      <c r="F55" s="20" t="n">
        <v>90258</v>
      </c>
      <c r="G55" s="22" t="n">
        <f aca="false">C55/F55</f>
        <v>482.372568968956</v>
      </c>
    </row>
    <row r="56" customFormat="false" ht="15" hidden="false" customHeight="false" outlineLevel="0" collapsed="false">
      <c r="A56" s="25" t="s">
        <v>339</v>
      </c>
      <c r="B56" s="25" t="s">
        <v>301</v>
      </c>
      <c r="C56" s="18" t="n">
        <v>40899536.25</v>
      </c>
      <c r="D56" s="26" t="n">
        <f aca="false">C56/1_Overall!$B$5</f>
        <v>0.0302914662781915</v>
      </c>
      <c r="E56" s="26" t="n">
        <f aca="false">SUM(D$45:D56)</f>
        <v>0.869750675314249</v>
      </c>
      <c r="F56" s="20" t="n">
        <v>13057</v>
      </c>
      <c r="G56" s="22" t="n">
        <f aca="false">C56/F56</f>
        <v>3132.38387455005</v>
      </c>
    </row>
    <row r="57" customFormat="false" ht="15" hidden="false" customHeight="false" outlineLevel="0" collapsed="false">
      <c r="A57" s="25" t="s">
        <v>311</v>
      </c>
      <c r="B57" s="25" t="s">
        <v>301</v>
      </c>
      <c r="C57" s="18" t="n">
        <v>35672209.62</v>
      </c>
      <c r="D57" s="26" t="n">
        <f aca="false">C57/1_Overall!$B$5</f>
        <v>0.0264199458929759</v>
      </c>
      <c r="E57" s="26" t="n">
        <f aca="false">SUM(D$45:D57)</f>
        <v>0.896170621207225</v>
      </c>
      <c r="F57" s="20" t="n">
        <v>87300</v>
      </c>
      <c r="G57" s="22" t="n">
        <f aca="false">C57/F57</f>
        <v>408.616375945017</v>
      </c>
    </row>
    <row r="58" customFormat="false" ht="15" hidden="false" customHeight="false" outlineLevel="0" collapsed="false">
      <c r="A58" s="25" t="s">
        <v>340</v>
      </c>
      <c r="B58" s="25" t="s">
        <v>301</v>
      </c>
      <c r="C58" s="18" t="n">
        <v>31729813.14</v>
      </c>
      <c r="D58" s="26" t="n">
        <f aca="false">C58/1_Overall!$B$5</f>
        <v>0.0235000846676746</v>
      </c>
      <c r="E58" s="26" t="n">
        <f aca="false">SUM(D$45:D58)</f>
        <v>0.919670705874899</v>
      </c>
      <c r="F58" s="20" t="n">
        <v>28296</v>
      </c>
      <c r="G58" s="22" t="n">
        <f aca="false">C58/F58</f>
        <v>1121.3533057676</v>
      </c>
    </row>
    <row r="59" customFormat="false" ht="15" hidden="false" customHeight="false" outlineLevel="0" collapsed="false">
      <c r="A59" s="25" t="s">
        <v>341</v>
      </c>
      <c r="B59" s="25" t="s">
        <v>301</v>
      </c>
      <c r="C59" s="18" t="n">
        <v>16552303.31</v>
      </c>
      <c r="D59" s="26" t="n">
        <f aca="false">C59/1_Overall!$B$5</f>
        <v>0.0122591496998028</v>
      </c>
      <c r="E59" s="26" t="n">
        <f aca="false">SUM(D$45:D59)</f>
        <v>0.931929855574702</v>
      </c>
      <c r="F59" s="20" t="n">
        <v>263196</v>
      </c>
      <c r="G59" s="22" t="n">
        <f aca="false">C59/F59</f>
        <v>62.8896461572364</v>
      </c>
    </row>
    <row r="61" customFormat="false" ht="15" hidden="false" customHeight="false" outlineLevel="0" collapsed="false">
      <c r="A61" s="12" t="s">
        <v>342</v>
      </c>
    </row>
    <row r="63" customFormat="false" ht="15" hidden="false" customHeight="false" outlineLevel="0" collapsed="false">
      <c r="A63" s="3" t="s">
        <v>343</v>
      </c>
    </row>
    <row r="64" customFormat="false" ht="15" hidden="false" customHeight="false" outlineLevel="0" collapsed="false">
      <c r="A64" s="37" t="s">
        <v>344</v>
      </c>
      <c r="B64" s="37" t="s">
        <v>41</v>
      </c>
    </row>
    <row r="65" customFormat="false" ht="15" hidden="false" customHeight="false" outlineLevel="0" collapsed="false">
      <c r="A65" s="14" t="s">
        <v>345</v>
      </c>
      <c r="B65" s="20" t="n">
        <v>958</v>
      </c>
    </row>
    <row r="66" customFormat="false" ht="15" hidden="false" customHeight="false" outlineLevel="0" collapsed="false">
      <c r="A66" s="14" t="s">
        <v>346</v>
      </c>
      <c r="B66" s="20" t="n">
        <v>68</v>
      </c>
    </row>
    <row r="67" customFormat="false" ht="15" hidden="false" customHeight="false" outlineLevel="0" collapsed="false">
      <c r="A67" s="14" t="s">
        <v>347</v>
      </c>
      <c r="B67" s="36" t="n">
        <v>0.283122805107227</v>
      </c>
    </row>
    <row r="68" customFormat="false" ht="15" hidden="false" customHeight="false" outlineLevel="0" collapsed="false">
      <c r="A68" s="14" t="s">
        <v>348</v>
      </c>
      <c r="B68" s="36" t="n">
        <v>0.448821446425646</v>
      </c>
    </row>
    <row r="69" customFormat="false" ht="15" hidden="false" customHeight="false" outlineLevel="0" collapsed="false">
      <c r="A69" s="14" t="s">
        <v>349</v>
      </c>
      <c r="B69" s="36" t="n">
        <v>0.717579492615491</v>
      </c>
    </row>
    <row r="70" customFormat="false" ht="15" hidden="false" customHeight="false" outlineLevel="0" collapsed="false">
      <c r="A70" s="14" t="s">
        <v>350</v>
      </c>
      <c r="B70" s="36" t="n">
        <v>0.1169</v>
      </c>
    </row>
    <row r="71" customFormat="false" ht="15" hidden="false" customHeight="false" outlineLevel="0" collapsed="false">
      <c r="A71" s="14" t="s">
        <v>351</v>
      </c>
      <c r="B71" s="20" t="n">
        <v>653</v>
      </c>
    </row>
    <row r="72" customFormat="false" ht="15" hidden="false" customHeight="false" outlineLevel="0" collapsed="false">
      <c r="A72" s="14" t="s">
        <v>352</v>
      </c>
      <c r="B72" s="20" t="n">
        <v>770</v>
      </c>
    </row>
    <row r="73" customFormat="false" ht="15" hidden="false" customHeight="false" outlineLevel="0" collapsed="false">
      <c r="A73" s="14" t="s">
        <v>353</v>
      </c>
      <c r="B73" s="20" t="n">
        <v>843</v>
      </c>
    </row>
    <row r="74" customFormat="false" ht="15" hidden="false" customHeight="false" outlineLevel="0" collapsed="false">
      <c r="A74" s="14" t="s">
        <v>354</v>
      </c>
      <c r="B74" s="20" t="n">
        <v>650</v>
      </c>
    </row>
    <row r="75" customFormat="false" ht="15" hidden="false" customHeight="false" outlineLevel="0" collapsed="false">
      <c r="A75" s="14" t="s">
        <v>355</v>
      </c>
      <c r="B75" s="20" t="n">
        <v>746</v>
      </c>
    </row>
    <row r="76" customFormat="false" ht="15" hidden="false" customHeight="false" outlineLevel="0" collapsed="false">
      <c r="A76" s="14" t="s">
        <v>356</v>
      </c>
      <c r="B76" s="18" t="n">
        <v>3507925.24</v>
      </c>
    </row>
    <row r="79" customFormat="false" ht="15" hidden="false" customHeight="false" outlineLevel="0" collapsed="false">
      <c r="A79" s="3" t="s">
        <v>357</v>
      </c>
    </row>
    <row r="80" customFormat="false" ht="31.5" hidden="false" customHeight="true" outlineLevel="0" collapsed="false">
      <c r="A80" s="24" t="s">
        <v>292</v>
      </c>
      <c r="B80" s="24" t="s">
        <v>293</v>
      </c>
      <c r="C80" s="24" t="s">
        <v>294</v>
      </c>
      <c r="D80" s="24" t="s">
        <v>72</v>
      </c>
      <c r="E80" s="24" t="s">
        <v>76</v>
      </c>
    </row>
    <row r="81" customFormat="false" ht="15" hidden="false" customHeight="false" outlineLevel="0" collapsed="false">
      <c r="A81" s="25" t="s">
        <v>358</v>
      </c>
      <c r="B81" s="25" t="s">
        <v>359</v>
      </c>
      <c r="C81" s="25" t="s">
        <v>297</v>
      </c>
      <c r="D81" s="18" t="n">
        <v>0.29</v>
      </c>
      <c r="E81" s="20" t="n">
        <v>1</v>
      </c>
    </row>
    <row r="82" customFormat="false" ht="15" hidden="false" customHeight="false" outlineLevel="0" collapsed="false">
      <c r="A82" s="25" t="s">
        <v>360</v>
      </c>
      <c r="B82" s="25" t="s">
        <v>361</v>
      </c>
      <c r="C82" s="25" t="s">
        <v>297</v>
      </c>
      <c r="D82" s="18" t="n">
        <v>0.42</v>
      </c>
      <c r="E82" s="20" t="n">
        <v>1</v>
      </c>
    </row>
    <row r="83" customFormat="false" ht="15" hidden="false" customHeight="false" outlineLevel="0" collapsed="false">
      <c r="A83" s="25" t="s">
        <v>362</v>
      </c>
      <c r="B83" s="25" t="s">
        <v>361</v>
      </c>
      <c r="C83" s="25" t="s">
        <v>297</v>
      </c>
      <c r="D83" s="18" t="n">
        <v>0.46</v>
      </c>
      <c r="E83" s="20" t="n">
        <v>1</v>
      </c>
    </row>
    <row r="84" customFormat="false" ht="15" hidden="false" customHeight="false" outlineLevel="0" collapsed="false">
      <c r="A84" s="25" t="s">
        <v>363</v>
      </c>
      <c r="B84" s="25" t="s">
        <v>361</v>
      </c>
      <c r="C84" s="25" t="s">
        <v>297</v>
      </c>
      <c r="D84" s="18" t="n">
        <v>0.56</v>
      </c>
      <c r="E84" s="20" t="n">
        <v>1</v>
      </c>
    </row>
    <row r="85" customFormat="false" ht="15" hidden="false" customHeight="false" outlineLevel="0" collapsed="false">
      <c r="A85" s="25" t="s">
        <v>364</v>
      </c>
      <c r="B85" s="25" t="s">
        <v>365</v>
      </c>
      <c r="C85" s="25" t="s">
        <v>297</v>
      </c>
      <c r="D85" s="18" t="n">
        <v>0.71</v>
      </c>
      <c r="E85" s="20" t="n">
        <v>1</v>
      </c>
    </row>
    <row r="86" customFormat="false" ht="15" hidden="false" customHeight="false" outlineLevel="0" collapsed="false">
      <c r="A86" s="25" t="s">
        <v>366</v>
      </c>
      <c r="B86" s="25" t="s">
        <v>367</v>
      </c>
      <c r="C86" s="25" t="s">
        <v>297</v>
      </c>
      <c r="D86" s="18" t="n">
        <v>2.18</v>
      </c>
      <c r="E86" s="20" t="n">
        <v>1</v>
      </c>
    </row>
    <row r="87" customFormat="false" ht="15" hidden="false" customHeight="false" outlineLevel="0" collapsed="false">
      <c r="A87" s="25" t="s">
        <v>368</v>
      </c>
      <c r="B87" s="25" t="s">
        <v>361</v>
      </c>
      <c r="C87" s="25" t="s">
        <v>297</v>
      </c>
      <c r="D87" s="18" t="n">
        <v>2.33</v>
      </c>
      <c r="E87" s="20" t="n">
        <v>1</v>
      </c>
    </row>
    <row r="88" customFormat="false" ht="15" hidden="false" customHeight="false" outlineLevel="0" collapsed="false">
      <c r="A88" s="25" t="s">
        <v>369</v>
      </c>
      <c r="B88" s="25" t="s">
        <v>370</v>
      </c>
      <c r="C88" s="25" t="s">
        <v>297</v>
      </c>
      <c r="D88" s="18" t="n">
        <v>2.45</v>
      </c>
      <c r="E88" s="20" t="n">
        <v>1</v>
      </c>
    </row>
    <row r="89" customFormat="false" ht="15" hidden="false" customHeight="false" outlineLevel="0" collapsed="false">
      <c r="A89" s="25" t="s">
        <v>371</v>
      </c>
      <c r="B89" s="25" t="s">
        <v>361</v>
      </c>
      <c r="C89" s="25" t="s">
        <v>297</v>
      </c>
      <c r="D89" s="18" t="n">
        <v>2.73</v>
      </c>
      <c r="E89" s="20" t="n">
        <v>1</v>
      </c>
    </row>
    <row r="90" customFormat="false" ht="15" hidden="false" customHeight="false" outlineLevel="0" collapsed="false">
      <c r="A90" s="25" t="s">
        <v>372</v>
      </c>
      <c r="B90" s="25" t="s">
        <v>373</v>
      </c>
      <c r="C90" s="25" t="s">
        <v>297</v>
      </c>
      <c r="D90" s="18" t="n">
        <v>3.39</v>
      </c>
      <c r="E90" s="20" t="n">
        <v>1</v>
      </c>
    </row>
    <row r="91" customFormat="false" ht="15" hidden="false" customHeight="false" outlineLevel="0" collapsed="false">
      <c r="A91" s="25" t="s">
        <v>374</v>
      </c>
      <c r="B91" s="25" t="s">
        <v>296</v>
      </c>
      <c r="C91" s="25" t="s">
        <v>297</v>
      </c>
      <c r="D91" s="18" t="n">
        <v>3.4</v>
      </c>
      <c r="E91" s="20" t="n">
        <v>1</v>
      </c>
    </row>
    <row r="92" customFormat="false" ht="15" hidden="false" customHeight="false" outlineLevel="0" collapsed="false">
      <c r="A92" s="25" t="s">
        <v>375</v>
      </c>
      <c r="B92" s="25" t="s">
        <v>376</v>
      </c>
      <c r="C92" s="25" t="s">
        <v>297</v>
      </c>
      <c r="D92" s="18" t="n">
        <v>3.5</v>
      </c>
      <c r="E92" s="20" t="n">
        <v>1</v>
      </c>
    </row>
    <row r="93" customFormat="false" ht="15" hidden="false" customHeight="false" outlineLevel="0" collapsed="false">
      <c r="A93" s="25" t="s">
        <v>377</v>
      </c>
      <c r="B93" s="25" t="s">
        <v>321</v>
      </c>
      <c r="C93" s="25" t="s">
        <v>301</v>
      </c>
      <c r="D93" s="18" t="n">
        <v>3920.17</v>
      </c>
      <c r="E93" s="20" t="n">
        <v>1</v>
      </c>
    </row>
    <row r="94" customFormat="false" ht="15" hidden="false" customHeight="false" outlineLevel="0" collapsed="false">
      <c r="A94" s="25" t="s">
        <v>378</v>
      </c>
      <c r="B94" s="25" t="s">
        <v>321</v>
      </c>
      <c r="C94" s="25" t="s">
        <v>301</v>
      </c>
      <c r="D94" s="18" t="n">
        <v>7840.35</v>
      </c>
      <c r="E94" s="20" t="n">
        <v>1</v>
      </c>
    </row>
    <row r="95" customFormat="false" ht="15" hidden="false" customHeight="false" outlineLevel="0" collapsed="false">
      <c r="A95" s="25" t="s">
        <v>379</v>
      </c>
      <c r="B95" s="25" t="s">
        <v>337</v>
      </c>
      <c r="C95" s="25" t="s">
        <v>301</v>
      </c>
      <c r="D95" s="18" t="n">
        <v>9905.27</v>
      </c>
      <c r="E95" s="20" t="n">
        <v>1</v>
      </c>
    </row>
    <row r="96" customFormat="false" ht="15" hidden="false" customHeight="false" outlineLevel="0" collapsed="false">
      <c r="A96" s="25" t="s">
        <v>380</v>
      </c>
      <c r="B96" s="25" t="s">
        <v>365</v>
      </c>
      <c r="C96" s="25" t="s">
        <v>301</v>
      </c>
      <c r="D96" s="18" t="n">
        <v>13914.09</v>
      </c>
      <c r="E96" s="20" t="n">
        <v>1</v>
      </c>
    </row>
    <row r="97" customFormat="false" ht="15" hidden="false" customHeight="false" outlineLevel="0" collapsed="false">
      <c r="A97" s="25" t="s">
        <v>381</v>
      </c>
      <c r="B97" s="25" t="s">
        <v>365</v>
      </c>
      <c r="C97" s="25" t="s">
        <v>301</v>
      </c>
      <c r="D97" s="18" t="n">
        <v>15861.92</v>
      </c>
      <c r="E97" s="20" t="n">
        <v>1</v>
      </c>
    </row>
    <row r="98" customFormat="false" ht="15" hidden="false" customHeight="false" outlineLevel="0" collapsed="false">
      <c r="A98" s="25" t="s">
        <v>382</v>
      </c>
      <c r="B98" s="25" t="s">
        <v>365</v>
      </c>
      <c r="C98" s="25" t="s">
        <v>301</v>
      </c>
      <c r="D98" s="18" t="n">
        <v>16088.62</v>
      </c>
      <c r="E98" s="20" t="n">
        <v>1</v>
      </c>
    </row>
    <row r="100" customFormat="false" ht="15" hidden="false" customHeight="false" outlineLevel="0" collapsed="false">
      <c r="A100" s="12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1" t="s">
        <v>384</v>
      </c>
    </row>
    <row r="2" customFormat="false" ht="15" hidden="false" customHeight="false" outlineLevel="0" collapsed="false">
      <c r="A2" s="12" t="s">
        <v>385</v>
      </c>
    </row>
    <row r="3" customFormat="false" ht="15" hidden="false" customHeight="false" outlineLevel="0" collapsed="false">
      <c r="A3" s="3" t="s">
        <v>386</v>
      </c>
    </row>
    <row r="4" customFormat="false" ht="31.5" hidden="false" customHeight="true" outlineLevel="0" collapsed="false">
      <c r="A4" s="24" t="s">
        <v>387</v>
      </c>
      <c r="B4" s="24" t="s">
        <v>75</v>
      </c>
      <c r="C4" s="24" t="s">
        <v>72</v>
      </c>
      <c r="D4" s="24" t="s">
        <v>388</v>
      </c>
      <c r="E4" s="24" t="s">
        <v>389</v>
      </c>
      <c r="F4" s="24" t="s">
        <v>77</v>
      </c>
    </row>
    <row r="5" customFormat="false" ht="15" hidden="false" customHeight="false" outlineLevel="0" collapsed="false">
      <c r="A5" s="25" t="s">
        <v>390</v>
      </c>
      <c r="B5" s="20" t="n">
        <v>265092</v>
      </c>
      <c r="C5" s="18" t="n">
        <v>11607109.09</v>
      </c>
      <c r="D5" s="26" t="n">
        <f aca="false">B5/B14</f>
        <v>0.340056416946635</v>
      </c>
      <c r="E5" s="26" t="n">
        <f aca="false">C5/C14</f>
        <v>0.00859658533627077</v>
      </c>
      <c r="F5" s="22" t="n">
        <f aca="false">C5/B5</f>
        <v>43.7852107570202</v>
      </c>
    </row>
    <row r="6" customFormat="false" ht="15" hidden="false" customHeight="false" outlineLevel="0" collapsed="false">
      <c r="A6" s="25" t="s">
        <v>391</v>
      </c>
      <c r="B6" s="20" t="n">
        <v>132866</v>
      </c>
      <c r="C6" s="18" t="n">
        <v>22148600.83</v>
      </c>
      <c r="D6" s="26" t="n">
        <f aca="false">B6/B14</f>
        <v>0.170438700126868</v>
      </c>
      <c r="E6" s="26" t="n">
        <f aca="false">C6/C14</f>
        <v>0.0164039413809018</v>
      </c>
      <c r="F6" s="22" t="n">
        <f aca="false">C6/B6</f>
        <v>166.698785468066</v>
      </c>
    </row>
    <row r="7" customFormat="false" ht="15" hidden="false" customHeight="false" outlineLevel="0" collapsed="false">
      <c r="A7" s="25" t="s">
        <v>392</v>
      </c>
      <c r="B7" s="20" t="n">
        <v>99672</v>
      </c>
      <c r="C7" s="18" t="n">
        <v>35681891.17</v>
      </c>
      <c r="D7" s="26" t="n">
        <f aca="false">B7/B14</f>
        <v>0.127857887789541</v>
      </c>
      <c r="E7" s="26" t="n">
        <f aca="false">C7/C14</f>
        <v>0.0264271163494709</v>
      </c>
      <c r="F7" s="22" t="n">
        <f aca="false">C7/B7</f>
        <v>357.993129163657</v>
      </c>
    </row>
    <row r="8" customFormat="false" ht="15" hidden="false" customHeight="false" outlineLevel="0" collapsed="false">
      <c r="A8" s="25" t="s">
        <v>393</v>
      </c>
      <c r="B8" s="20" t="n">
        <v>88550</v>
      </c>
      <c r="C8" s="18" t="n">
        <v>62546635.64</v>
      </c>
      <c r="D8" s="26" t="n">
        <f aca="false">B8/B14</f>
        <v>0.113590737255838</v>
      </c>
      <c r="E8" s="26" t="n">
        <f aca="false">C8/C14</f>
        <v>0.0463239801234516</v>
      </c>
      <c r="F8" s="22" t="n">
        <f aca="false">C8/B8</f>
        <v>706.342582044043</v>
      </c>
    </row>
    <row r="9" customFormat="false" ht="15" hidden="false" customHeight="false" outlineLevel="0" collapsed="false">
      <c r="A9" s="25" t="s">
        <v>394</v>
      </c>
      <c r="B9" s="20" t="n">
        <v>92809</v>
      </c>
      <c r="C9" s="18" t="n">
        <v>147796126.47</v>
      </c>
      <c r="D9" s="26" t="n">
        <f aca="false">B9/B14</f>
        <v>0.119054124607307</v>
      </c>
      <c r="E9" s="26" t="n">
        <f aca="false">C9/C14</f>
        <v>0.10946239961372</v>
      </c>
      <c r="F9" s="22" t="n">
        <f aca="false">C9/B9</f>
        <v>1592.47623043024</v>
      </c>
    </row>
    <row r="10" customFormat="false" ht="15" hidden="false" customHeight="false" outlineLevel="0" collapsed="false">
      <c r="A10" s="25" t="s">
        <v>395</v>
      </c>
      <c r="B10" s="20" t="n">
        <v>42226</v>
      </c>
      <c r="C10" s="18" t="n">
        <v>145959552.1</v>
      </c>
      <c r="D10" s="26" t="n">
        <f aca="false">B10/B14</f>
        <v>0.0541669392587804</v>
      </c>
      <c r="E10" s="26" t="n">
        <f aca="false">C10/C14</f>
        <v>0.108102175618607</v>
      </c>
      <c r="F10" s="22" t="n">
        <f aca="false">C10/B10</f>
        <v>3456.6274830673</v>
      </c>
    </row>
    <row r="11" customFormat="false" ht="15" hidden="false" customHeight="false" outlineLevel="0" collapsed="false">
      <c r="A11" s="25" t="s">
        <v>251</v>
      </c>
      <c r="B11" s="20" t="n">
        <v>28222</v>
      </c>
      <c r="C11" s="18" t="n">
        <v>200517661.74</v>
      </c>
      <c r="D11" s="26" t="n">
        <f aca="false">B11/B14</f>
        <v>0.0362027982702908</v>
      </c>
      <c r="E11" s="26" t="n">
        <f aca="false">C11/C14</f>
        <v>0.148509605381626</v>
      </c>
      <c r="F11" s="22" t="n">
        <f aca="false">C11/B11</f>
        <v>7105.01246332648</v>
      </c>
    </row>
    <row r="12" customFormat="false" ht="15" hidden="false" customHeight="false" outlineLevel="0" collapsed="false">
      <c r="A12" s="25" t="s">
        <v>396</v>
      </c>
      <c r="B12" s="20" t="n">
        <v>28028</v>
      </c>
      <c r="C12" s="18" t="n">
        <v>538171654.44</v>
      </c>
      <c r="D12" s="26" t="n">
        <f aca="false">B12/B14</f>
        <v>0.035953937705326</v>
      </c>
      <c r="E12" s="26" t="n">
        <f aca="false">C12/C14</f>
        <v>0.398586634887523</v>
      </c>
      <c r="F12" s="22" t="n">
        <f aca="false">C12/B12</f>
        <v>19201.215014985</v>
      </c>
    </row>
    <row r="13" customFormat="false" ht="15" hidden="false" customHeight="false" outlineLevel="0" collapsed="false">
      <c r="A13" s="25" t="s">
        <v>397</v>
      </c>
      <c r="B13" s="20" t="n">
        <v>2088</v>
      </c>
      <c r="C13" s="18" t="n">
        <v>185770718.38</v>
      </c>
      <c r="D13" s="26" t="n">
        <f aca="false">B13/B14</f>
        <v>0.0026784580394149</v>
      </c>
      <c r="E13" s="26" t="n">
        <f aca="false">C13/C14</f>
        <v>0.137587561308429</v>
      </c>
      <c r="F13" s="22" t="n">
        <f aca="false">C13/B13</f>
        <v>88970.6505651341</v>
      </c>
    </row>
    <row r="14" customFormat="false" ht="15" hidden="false" customHeight="false" outlineLevel="0" collapsed="false">
      <c r="A14" s="27" t="s">
        <v>80</v>
      </c>
      <c r="B14" s="31" t="n">
        <f aca="false">SUM(B5:B13)</f>
        <v>779553</v>
      </c>
      <c r="C14" s="28" t="n">
        <f aca="false">SUM(C5:C13)</f>
        <v>1350199949.86</v>
      </c>
      <c r="D14" s="30" t="n">
        <f aca="false">SUM(D5:D13)</f>
        <v>1</v>
      </c>
      <c r="E14" s="30" t="n">
        <f aca="false">SUM(E5:E13)</f>
        <v>1</v>
      </c>
      <c r="F14" s="28" t="n">
        <f aca="false">C14/B14</f>
        <v>1732.01815637936</v>
      </c>
    </row>
    <row r="15" customFormat="false" ht="15" hidden="false" customHeight="false" outlineLevel="0" collapsed="false">
      <c r="A15" s="40" t="s">
        <v>398</v>
      </c>
      <c r="D15" s="41" t="n">
        <f aca="false">D5+D6</f>
        <v>0.510495117073502</v>
      </c>
      <c r="E15" s="41" t="n">
        <f aca="false">E5+E6</f>
        <v>0.0250005267171726</v>
      </c>
    </row>
    <row r="16" customFormat="false" ht="15" hidden="false" customHeight="false" outlineLevel="0" collapsed="false">
      <c r="A16" s="40" t="s">
        <v>399</v>
      </c>
      <c r="D16" s="41" t="n">
        <f aca="false">D12+D13</f>
        <v>0.0386323957447409</v>
      </c>
      <c r="E16" s="41" t="n">
        <f aca="false">E12+E13</f>
        <v>0.536174196195952</v>
      </c>
    </row>
    <row r="18" customFormat="false" ht="15" hidden="false" customHeight="false" outlineLevel="0" collapsed="false">
      <c r="A18" s="3" t="s">
        <v>400</v>
      </c>
    </row>
    <row r="19" customFormat="false" ht="31.5" hidden="false" customHeight="true" outlineLevel="0" collapsed="false">
      <c r="A19" s="24" t="s">
        <v>401</v>
      </c>
      <c r="B19" s="24" t="s">
        <v>41</v>
      </c>
    </row>
    <row r="20" customFormat="false" ht="15" hidden="false" customHeight="false" outlineLevel="0" collapsed="false">
      <c r="A20" s="25" t="s">
        <v>402</v>
      </c>
      <c r="B20" s="18" t="n">
        <v>1732.01815637936</v>
      </c>
    </row>
    <row r="21" customFormat="false" ht="15" hidden="false" customHeight="false" outlineLevel="0" collapsed="false">
      <c r="A21" s="25" t="s">
        <v>403</v>
      </c>
      <c r="B21" s="18" t="n">
        <v>237.91</v>
      </c>
    </row>
    <row r="22" customFormat="false" ht="15" hidden="false" customHeight="false" outlineLevel="0" collapsed="false">
      <c r="A22" s="25" t="s">
        <v>404</v>
      </c>
      <c r="B22" s="18" t="n">
        <v>3377.76</v>
      </c>
    </row>
    <row r="23" customFormat="false" ht="15" hidden="false" customHeight="false" outlineLevel="0" collapsed="false">
      <c r="A23" s="25" t="s">
        <v>405</v>
      </c>
      <c r="B23" s="18" t="n">
        <v>25400.372</v>
      </c>
    </row>
    <row r="24" customFormat="false" ht="15" hidden="false" customHeight="false" outlineLevel="0" collapsed="false">
      <c r="A24" s="25" t="s">
        <v>406</v>
      </c>
      <c r="B24" s="18" t="n">
        <v>76992.1355999984</v>
      </c>
    </row>
    <row r="25" customFormat="false" ht="15" hidden="false" customHeight="false" outlineLevel="0" collapsed="false">
      <c r="A25" s="25" t="s">
        <v>407</v>
      </c>
      <c r="B25" s="18" t="n">
        <v>1392921.42</v>
      </c>
    </row>
    <row r="26" customFormat="false" ht="15" hidden="false" customHeight="false" outlineLevel="0" collapsed="false">
      <c r="A26" s="25" t="s">
        <v>408</v>
      </c>
      <c r="B26" s="18" t="n">
        <v>2088</v>
      </c>
    </row>
    <row r="27" customFormat="false" ht="15" hidden="false" customHeight="false" outlineLevel="0" collapsed="false">
      <c r="A27" s="25" t="s">
        <v>409</v>
      </c>
      <c r="B27" s="18" t="n">
        <v>185770718.38</v>
      </c>
    </row>
    <row r="30" customFormat="false" ht="15" hidden="false" customHeight="false" outlineLevel="0" collapsed="false">
      <c r="A30" s="3" t="s">
        <v>410</v>
      </c>
    </row>
    <row r="31" customFormat="false" ht="31.5" hidden="false" customHeight="true" outlineLevel="0" collapsed="false">
      <c r="A31" s="24" t="s">
        <v>411</v>
      </c>
      <c r="B31" s="24" t="s">
        <v>412</v>
      </c>
      <c r="C31" s="24" t="s">
        <v>96</v>
      </c>
      <c r="D31" s="24" t="s">
        <v>71</v>
      </c>
      <c r="E31" s="24" t="s">
        <v>413</v>
      </c>
      <c r="F31" s="24" t="s">
        <v>414</v>
      </c>
      <c r="G31" s="24" t="s">
        <v>415</v>
      </c>
    </row>
    <row r="32" customFormat="false" ht="15" hidden="false" customHeight="false" outlineLevel="0" collapsed="false">
      <c r="A32" s="25" t="s">
        <v>416</v>
      </c>
      <c r="B32" s="42" t="n">
        <v>45541</v>
      </c>
      <c r="C32" s="25" t="s">
        <v>104</v>
      </c>
      <c r="D32" s="25" t="s">
        <v>417</v>
      </c>
      <c r="E32" s="20" t="n">
        <v>5</v>
      </c>
      <c r="F32" s="20" t="n">
        <v>960</v>
      </c>
      <c r="G32" s="18" t="n">
        <v>1392921.42</v>
      </c>
    </row>
    <row r="33" customFormat="false" ht="15" hidden="false" customHeight="false" outlineLevel="0" collapsed="false">
      <c r="A33" s="25" t="s">
        <v>418</v>
      </c>
      <c r="B33" s="42" t="n">
        <v>45540</v>
      </c>
      <c r="C33" s="25" t="s">
        <v>102</v>
      </c>
      <c r="D33" s="25" t="s">
        <v>417</v>
      </c>
      <c r="E33" s="20" t="n">
        <v>4</v>
      </c>
      <c r="F33" s="20" t="n">
        <v>603</v>
      </c>
      <c r="G33" s="18" t="n">
        <v>1285130.61</v>
      </c>
    </row>
    <row r="34" customFormat="false" ht="15" hidden="false" customHeight="false" outlineLevel="0" collapsed="false">
      <c r="A34" s="25" t="s">
        <v>419</v>
      </c>
      <c r="B34" s="42" t="n">
        <v>45565</v>
      </c>
      <c r="C34" s="25" t="s">
        <v>104</v>
      </c>
      <c r="D34" s="25" t="s">
        <v>417</v>
      </c>
      <c r="E34" s="20" t="n">
        <v>3</v>
      </c>
      <c r="F34" s="20" t="n">
        <v>353</v>
      </c>
      <c r="G34" s="18" t="n">
        <v>1011883.68</v>
      </c>
    </row>
    <row r="35" customFormat="false" ht="15" hidden="false" customHeight="false" outlineLevel="0" collapsed="false">
      <c r="A35" s="25" t="s">
        <v>420</v>
      </c>
      <c r="B35" s="42" t="n">
        <v>45547</v>
      </c>
      <c r="C35" s="25" t="s">
        <v>102</v>
      </c>
      <c r="D35" s="25" t="s">
        <v>417</v>
      </c>
      <c r="E35" s="20" t="n">
        <v>3</v>
      </c>
      <c r="F35" s="20" t="n">
        <v>310</v>
      </c>
      <c r="G35" s="18" t="n">
        <v>987045.06</v>
      </c>
    </row>
    <row r="36" customFormat="false" ht="15" hidden="false" customHeight="false" outlineLevel="0" collapsed="false">
      <c r="A36" s="25" t="s">
        <v>421</v>
      </c>
      <c r="B36" s="42" t="n">
        <v>45545</v>
      </c>
      <c r="C36" s="25" t="s">
        <v>103</v>
      </c>
      <c r="D36" s="25" t="s">
        <v>417</v>
      </c>
      <c r="E36" s="20" t="n">
        <v>3</v>
      </c>
      <c r="F36" s="20" t="n">
        <v>405</v>
      </c>
      <c r="G36" s="18" t="n">
        <v>917628</v>
      </c>
    </row>
    <row r="37" customFormat="false" ht="15" hidden="false" customHeight="false" outlineLevel="0" collapsed="false">
      <c r="A37" s="25" t="s">
        <v>422</v>
      </c>
      <c r="B37" s="42" t="n">
        <v>45557</v>
      </c>
      <c r="C37" s="25" t="s">
        <v>104</v>
      </c>
      <c r="D37" s="25" t="s">
        <v>417</v>
      </c>
      <c r="E37" s="20" t="n">
        <v>1</v>
      </c>
      <c r="F37" s="20" t="n">
        <v>267</v>
      </c>
      <c r="G37" s="18" t="n">
        <v>877580.5</v>
      </c>
    </row>
    <row r="38" customFormat="false" ht="15" hidden="false" customHeight="false" outlineLevel="0" collapsed="false">
      <c r="A38" s="25" t="s">
        <v>423</v>
      </c>
      <c r="B38" s="42" t="n">
        <v>45538</v>
      </c>
      <c r="C38" s="25" t="s">
        <v>104</v>
      </c>
      <c r="D38" s="25" t="s">
        <v>424</v>
      </c>
      <c r="E38" s="20" t="n">
        <v>1</v>
      </c>
      <c r="F38" s="20" t="n">
        <v>62</v>
      </c>
      <c r="G38" s="18" t="n">
        <v>679971.3</v>
      </c>
    </row>
    <row r="39" customFormat="false" ht="15" hidden="false" customHeight="false" outlineLevel="0" collapsed="false">
      <c r="A39" s="25" t="s">
        <v>425</v>
      </c>
      <c r="B39" s="42" t="n">
        <v>45540</v>
      </c>
      <c r="C39" s="25" t="s">
        <v>102</v>
      </c>
      <c r="D39" s="25" t="s">
        <v>417</v>
      </c>
      <c r="E39" s="20" t="n">
        <v>2</v>
      </c>
      <c r="F39" s="20" t="n">
        <v>379</v>
      </c>
      <c r="G39" s="18" t="n">
        <v>599846.37</v>
      </c>
    </row>
    <row r="40" customFormat="false" ht="15" hidden="false" customHeight="false" outlineLevel="0" collapsed="false">
      <c r="A40" s="25" t="s">
        <v>426</v>
      </c>
      <c r="B40" s="42" t="n">
        <v>45556</v>
      </c>
      <c r="C40" s="25" t="s">
        <v>102</v>
      </c>
      <c r="D40" s="25" t="s">
        <v>417</v>
      </c>
      <c r="E40" s="20" t="n">
        <v>4</v>
      </c>
      <c r="F40" s="20" t="n">
        <v>207</v>
      </c>
      <c r="G40" s="18" t="n">
        <v>586676.29</v>
      </c>
    </row>
    <row r="41" customFormat="false" ht="15" hidden="false" customHeight="false" outlineLevel="0" collapsed="false">
      <c r="A41" s="25" t="s">
        <v>427</v>
      </c>
      <c r="B41" s="42" t="n">
        <v>45556</v>
      </c>
      <c r="C41" s="25" t="s">
        <v>105</v>
      </c>
      <c r="D41" s="25" t="s">
        <v>424</v>
      </c>
      <c r="E41" s="20" t="n">
        <v>5</v>
      </c>
      <c r="F41" s="20" t="n">
        <v>669</v>
      </c>
      <c r="G41" s="18" t="n">
        <v>525671</v>
      </c>
    </row>
    <row r="43" customFormat="false" ht="15" hidden="false" customHeight="false" outlineLevel="0" collapsed="false">
      <c r="A43" s="12" t="s">
        <v>428</v>
      </c>
    </row>
    <row r="45" customFormat="false" ht="15" hidden="false" customHeight="false" outlineLevel="0" collapsed="false">
      <c r="A45" s="3" t="s">
        <v>429</v>
      </c>
    </row>
    <row r="46" customFormat="false" ht="31.5" hidden="false" customHeight="true" outlineLevel="0" collapsed="false">
      <c r="A46" s="24" t="s">
        <v>412</v>
      </c>
      <c r="B46" s="24" t="s">
        <v>430</v>
      </c>
      <c r="C46" s="24" t="s">
        <v>431</v>
      </c>
      <c r="D46" s="24" t="s">
        <v>72</v>
      </c>
      <c r="E46" s="24" t="s">
        <v>73</v>
      </c>
      <c r="F46" s="24" t="s">
        <v>75</v>
      </c>
      <c r="G46" s="24" t="s">
        <v>77</v>
      </c>
      <c r="H46" s="24" t="s">
        <v>432</v>
      </c>
    </row>
    <row r="47" customFormat="false" ht="15" hidden="false" customHeight="false" outlineLevel="0" collapsed="false">
      <c r="A47" s="42" t="n">
        <v>45536</v>
      </c>
      <c r="B47" s="25" t="s">
        <v>433</v>
      </c>
      <c r="C47" s="25" t="s">
        <v>434</v>
      </c>
      <c r="D47" s="18" t="n">
        <v>45005417.76</v>
      </c>
      <c r="E47" s="17" t="n">
        <f aca="false">D47/10000000</f>
        <v>4.500541776</v>
      </c>
      <c r="F47" s="20" t="n">
        <v>26233</v>
      </c>
      <c r="G47" s="22" t="n">
        <f aca="false">D47/F47</f>
        <v>1715.603162429</v>
      </c>
      <c r="H47" s="43" t="n">
        <f aca="false">D47/AVERAGE(D$47:D$76)-1</f>
        <v>-2.77122362534188E-005</v>
      </c>
    </row>
    <row r="48" customFormat="false" ht="15" hidden="false" customHeight="false" outlineLevel="0" collapsed="false">
      <c r="A48" s="42" t="n">
        <v>45537</v>
      </c>
      <c r="B48" s="25" t="s">
        <v>435</v>
      </c>
      <c r="C48" s="25" t="s">
        <v>434</v>
      </c>
      <c r="D48" s="18" t="n">
        <v>46236220.02</v>
      </c>
      <c r="E48" s="17" t="n">
        <f aca="false">D48/10000000</f>
        <v>4.623622002</v>
      </c>
      <c r="F48" s="20" t="n">
        <v>26142</v>
      </c>
      <c r="G48" s="22" t="n">
        <f aca="false">D48/F48</f>
        <v>1768.65656873996</v>
      </c>
      <c r="H48" s="43" t="n">
        <f aca="false">D48/AVERAGE(D$47:D$76)-1</f>
        <v>0.0273193986889313</v>
      </c>
    </row>
    <row r="49" customFormat="false" ht="15" hidden="false" customHeight="false" outlineLevel="0" collapsed="false">
      <c r="A49" s="42" t="n">
        <v>45538</v>
      </c>
      <c r="B49" s="25" t="s">
        <v>436</v>
      </c>
      <c r="C49" s="25" t="s">
        <v>434</v>
      </c>
      <c r="D49" s="18" t="n">
        <v>44381678.24</v>
      </c>
      <c r="E49" s="17" t="n">
        <f aca="false">D49/10000000</f>
        <v>4.438167824</v>
      </c>
      <c r="F49" s="20" t="n">
        <v>26083</v>
      </c>
      <c r="G49" s="22" t="n">
        <f aca="false">D49/F49</f>
        <v>1701.55573515317</v>
      </c>
      <c r="H49" s="43" t="n">
        <f aca="false">D49/AVERAGE(D$47:D$76)-1</f>
        <v>-0.0138865378138578</v>
      </c>
    </row>
    <row r="50" customFormat="false" ht="15" hidden="false" customHeight="false" outlineLevel="0" collapsed="false">
      <c r="A50" s="42" t="n">
        <v>45539</v>
      </c>
      <c r="B50" s="25" t="s">
        <v>437</v>
      </c>
      <c r="C50" s="25" t="s">
        <v>434</v>
      </c>
      <c r="D50" s="18" t="n">
        <v>43873238.18</v>
      </c>
      <c r="E50" s="17" t="n">
        <f aca="false">D50/10000000</f>
        <v>4.387323818</v>
      </c>
      <c r="F50" s="20" t="n">
        <v>26231</v>
      </c>
      <c r="G50" s="22" t="n">
        <f aca="false">D50/F50</f>
        <v>1672.57207807556</v>
      </c>
      <c r="H50" s="43" t="n">
        <f aca="false">D50/AVERAGE(D$47:D$76)-1</f>
        <v>-0.0251835326045787</v>
      </c>
    </row>
    <row r="51" customFormat="false" ht="15" hidden="false" customHeight="false" outlineLevel="0" collapsed="false">
      <c r="A51" s="42" t="n">
        <v>45540</v>
      </c>
      <c r="B51" s="25" t="s">
        <v>438</v>
      </c>
      <c r="C51" s="25" t="s">
        <v>434</v>
      </c>
      <c r="D51" s="18" t="n">
        <v>44517351.55</v>
      </c>
      <c r="E51" s="17" t="n">
        <f aca="false">D51/10000000</f>
        <v>4.451735155</v>
      </c>
      <c r="F51" s="20" t="n">
        <v>25969</v>
      </c>
      <c r="G51" s="22" t="n">
        <f aca="false">D51/F51</f>
        <v>1714.24974200008</v>
      </c>
      <c r="H51" s="43" t="n">
        <f aca="false">D51/AVERAGE(D$47:D$76)-1</f>
        <v>-0.0108720218524093</v>
      </c>
    </row>
    <row r="52" customFormat="false" ht="15" hidden="false" customHeight="false" outlineLevel="0" collapsed="false">
      <c r="A52" s="42" t="n">
        <v>45541</v>
      </c>
      <c r="B52" s="25" t="s">
        <v>439</v>
      </c>
      <c r="C52" s="25" t="s">
        <v>434</v>
      </c>
      <c r="D52" s="18" t="n">
        <v>44052065.92</v>
      </c>
      <c r="E52" s="17" t="n">
        <f aca="false">D52/10000000</f>
        <v>4.405206592</v>
      </c>
      <c r="F52" s="20" t="n">
        <v>25851</v>
      </c>
      <c r="G52" s="22" t="n">
        <f aca="false">D52/F52</f>
        <v>1704.07589338904</v>
      </c>
      <c r="H52" s="43" t="n">
        <f aca="false">D52/AVERAGE(D$47:D$76)-1</f>
        <v>-0.0212101713253428</v>
      </c>
    </row>
    <row r="53" customFormat="false" ht="15" hidden="false" customHeight="false" outlineLevel="0" collapsed="false">
      <c r="A53" s="42" t="n">
        <v>45542</v>
      </c>
      <c r="B53" s="25" t="s">
        <v>440</v>
      </c>
      <c r="C53" s="25" t="s">
        <v>434</v>
      </c>
      <c r="D53" s="18" t="n">
        <v>44904587.23</v>
      </c>
      <c r="E53" s="17" t="n">
        <f aca="false">D53/10000000</f>
        <v>4.490458723</v>
      </c>
      <c r="F53" s="20" t="n">
        <v>26011</v>
      </c>
      <c r="G53" s="22" t="n">
        <f aca="false">D53/F53</f>
        <v>1726.36912190996</v>
      </c>
      <c r="H53" s="43" t="n">
        <f aca="false">D53/AVERAGE(D$47:D$76)-1</f>
        <v>-0.00226805886070247</v>
      </c>
    </row>
    <row r="54" customFormat="false" ht="15" hidden="false" customHeight="false" outlineLevel="0" collapsed="false">
      <c r="A54" s="42" t="n">
        <v>45543</v>
      </c>
      <c r="B54" s="25" t="s">
        <v>433</v>
      </c>
      <c r="C54" s="25" t="s">
        <v>441</v>
      </c>
      <c r="D54" s="18" t="n">
        <v>45177032.11</v>
      </c>
      <c r="E54" s="17" t="n">
        <f aca="false">D54/10000000</f>
        <v>4.517703211</v>
      </c>
      <c r="F54" s="20" t="n">
        <v>26138</v>
      </c>
      <c r="G54" s="22" t="n">
        <f aca="false">D54/F54</f>
        <v>1728.40431976433</v>
      </c>
      <c r="H54" s="43" t="n">
        <f aca="false">D54/AVERAGE(D$47:D$76)-1</f>
        <v>0.00378537522574351</v>
      </c>
    </row>
    <row r="55" customFormat="false" ht="15" hidden="false" customHeight="false" outlineLevel="0" collapsed="false">
      <c r="A55" s="42" t="n">
        <v>45544</v>
      </c>
      <c r="B55" s="25" t="s">
        <v>435</v>
      </c>
      <c r="C55" s="25" t="s">
        <v>441</v>
      </c>
      <c r="D55" s="18" t="n">
        <v>44239744.48</v>
      </c>
      <c r="E55" s="17" t="n">
        <f aca="false">D55/10000000</f>
        <v>4.423974448</v>
      </c>
      <c r="F55" s="20" t="n">
        <v>26234</v>
      </c>
      <c r="G55" s="22" t="n">
        <f aca="false">D55/F55</f>
        <v>1686.35147061066</v>
      </c>
      <c r="H55" s="43" t="n">
        <f aca="false">D55/AVERAGE(D$47:D$76)-1</f>
        <v>-0.0170401542841011</v>
      </c>
    </row>
    <row r="56" customFormat="false" ht="15" hidden="false" customHeight="false" outlineLevel="0" collapsed="false">
      <c r="A56" s="42" t="n">
        <v>45545</v>
      </c>
      <c r="B56" s="25" t="s">
        <v>436</v>
      </c>
      <c r="C56" s="25" t="s">
        <v>441</v>
      </c>
      <c r="D56" s="18" t="n">
        <v>46197936.7</v>
      </c>
      <c r="E56" s="17" t="n">
        <f aca="false">D56/10000000</f>
        <v>4.61979367</v>
      </c>
      <c r="F56" s="20" t="n">
        <v>26087</v>
      </c>
      <c r="G56" s="22" t="n">
        <f aca="false">D56/F56</f>
        <v>1770.91795530341</v>
      </c>
      <c r="H56" s="43" t="n">
        <f aca="false">D56/AVERAGE(D$47:D$76)-1</f>
        <v>0.0264687842298512</v>
      </c>
    </row>
    <row r="57" customFormat="false" ht="15" hidden="false" customHeight="false" outlineLevel="0" collapsed="false">
      <c r="A57" s="42" t="n">
        <v>45546</v>
      </c>
      <c r="B57" s="25" t="s">
        <v>437</v>
      </c>
      <c r="C57" s="25" t="s">
        <v>441</v>
      </c>
      <c r="D57" s="18" t="n">
        <v>44635273.87</v>
      </c>
      <c r="E57" s="17" t="n">
        <f aca="false">D57/10000000</f>
        <v>4.463527387</v>
      </c>
      <c r="F57" s="20" t="n">
        <v>25997</v>
      </c>
      <c r="G57" s="22" t="n">
        <f aca="false">D57/F57</f>
        <v>1716.93941108589</v>
      </c>
      <c r="H57" s="43" t="n">
        <f aca="false">D57/AVERAGE(D$47:D$76)-1</f>
        <v>-0.00825191391923486</v>
      </c>
    </row>
    <row r="58" customFormat="false" ht="15" hidden="false" customHeight="false" outlineLevel="0" collapsed="false">
      <c r="A58" s="42" t="n">
        <v>45547</v>
      </c>
      <c r="B58" s="25" t="s">
        <v>438</v>
      </c>
      <c r="C58" s="25" t="s">
        <v>441</v>
      </c>
      <c r="D58" s="18" t="n">
        <v>46649941.28</v>
      </c>
      <c r="E58" s="17" t="n">
        <f aca="false">D58/10000000</f>
        <v>4.664994128</v>
      </c>
      <c r="F58" s="20" t="n">
        <v>26001</v>
      </c>
      <c r="G58" s="22" t="n">
        <f aca="false">D58/F58</f>
        <v>1794.15950463444</v>
      </c>
      <c r="H58" s="43" t="n">
        <f aca="false">D58/AVERAGE(D$47:D$76)-1</f>
        <v>0.0365118429645268</v>
      </c>
    </row>
    <row r="59" customFormat="false" ht="15" hidden="false" customHeight="false" outlineLevel="0" collapsed="false">
      <c r="A59" s="42" t="n">
        <v>45548</v>
      </c>
      <c r="B59" s="25" t="s">
        <v>439</v>
      </c>
      <c r="C59" s="25" t="s">
        <v>441</v>
      </c>
      <c r="D59" s="18" t="n">
        <v>44946059.95</v>
      </c>
      <c r="E59" s="17" t="n">
        <f aca="false">D59/10000000</f>
        <v>4.494605995</v>
      </c>
      <c r="F59" s="20" t="n">
        <v>26245</v>
      </c>
      <c r="G59" s="22" t="n">
        <f aca="false">D59/F59</f>
        <v>1712.55705658221</v>
      </c>
      <c r="H59" s="43" t="n">
        <f aca="false">D59/AVERAGE(D$47:D$76)-1</f>
        <v>-0.00134657934196214</v>
      </c>
    </row>
    <row r="60" customFormat="false" ht="15" hidden="false" customHeight="false" outlineLevel="0" collapsed="false">
      <c r="A60" s="42" t="n">
        <v>45549</v>
      </c>
      <c r="B60" s="25" t="s">
        <v>440</v>
      </c>
      <c r="C60" s="25" t="s">
        <v>441</v>
      </c>
      <c r="D60" s="18" t="n">
        <v>42232737.05</v>
      </c>
      <c r="E60" s="17" t="n">
        <f aca="false">D60/10000000</f>
        <v>4.223273705</v>
      </c>
      <c r="F60" s="20" t="n">
        <v>25940</v>
      </c>
      <c r="G60" s="22" t="n">
        <f aca="false">D60/F60</f>
        <v>1628.09317848882</v>
      </c>
      <c r="H60" s="43" t="n">
        <f aca="false">D60/AVERAGE(D$47:D$76)-1</f>
        <v>-0.0616337145980702</v>
      </c>
    </row>
    <row r="61" customFormat="false" ht="15" hidden="false" customHeight="false" outlineLevel="0" collapsed="false">
      <c r="A61" s="42" t="n">
        <v>45550</v>
      </c>
      <c r="B61" s="25" t="s">
        <v>433</v>
      </c>
      <c r="C61" s="25" t="s">
        <v>442</v>
      </c>
      <c r="D61" s="18" t="n">
        <v>44530040.29</v>
      </c>
      <c r="E61" s="17" t="n">
        <f aca="false">D61/10000000</f>
        <v>4.453004029</v>
      </c>
      <c r="F61" s="20" t="n">
        <v>26176</v>
      </c>
      <c r="G61" s="22" t="n">
        <f aca="false">D61/F61</f>
        <v>1701.17818956296</v>
      </c>
      <c r="H61" s="43" t="n">
        <f aca="false">D61/AVERAGE(D$47:D$76)-1</f>
        <v>-0.0105900916093816</v>
      </c>
    </row>
    <row r="62" customFormat="false" ht="15" hidden="false" customHeight="false" outlineLevel="0" collapsed="false">
      <c r="A62" s="42" t="n">
        <v>45551</v>
      </c>
      <c r="B62" s="25" t="s">
        <v>435</v>
      </c>
      <c r="C62" s="25" t="s">
        <v>442</v>
      </c>
      <c r="D62" s="18" t="n">
        <v>42522968.14</v>
      </c>
      <c r="E62" s="17" t="n">
        <f aca="false">D62/10000000</f>
        <v>4.252296814</v>
      </c>
      <c r="F62" s="20" t="n">
        <v>26261</v>
      </c>
      <c r="G62" s="22" t="n">
        <f aca="false">D62/F62</f>
        <v>1619.24405544343</v>
      </c>
      <c r="H62" s="43" t="n">
        <f aca="false">D62/AVERAGE(D$47:D$76)-1</f>
        <v>-0.055185089932588</v>
      </c>
    </row>
    <row r="63" customFormat="false" ht="15" hidden="false" customHeight="false" outlineLevel="0" collapsed="false">
      <c r="A63" s="42" t="n">
        <v>45552</v>
      </c>
      <c r="B63" s="25" t="s">
        <v>436</v>
      </c>
      <c r="C63" s="25" t="s">
        <v>442</v>
      </c>
      <c r="D63" s="18" t="n">
        <v>43406952.85</v>
      </c>
      <c r="E63" s="17" t="n">
        <f aca="false">D63/10000000</f>
        <v>4.340695285</v>
      </c>
      <c r="F63" s="20" t="n">
        <v>26252</v>
      </c>
      <c r="G63" s="22" t="n">
        <f aca="false">D63/F63</f>
        <v>1653.47222497334</v>
      </c>
      <c r="H63" s="43" t="n">
        <f aca="false">D63/AVERAGE(D$47:D$76)-1</f>
        <v>-0.0355438943431867</v>
      </c>
    </row>
    <row r="64" customFormat="false" ht="15" hidden="false" customHeight="false" outlineLevel="0" collapsed="false">
      <c r="A64" s="42" t="n">
        <v>45553</v>
      </c>
      <c r="B64" s="25" t="s">
        <v>437</v>
      </c>
      <c r="C64" s="25" t="s">
        <v>442</v>
      </c>
      <c r="D64" s="18" t="n">
        <v>42379473.21</v>
      </c>
      <c r="E64" s="17" t="n">
        <f aca="false">D64/10000000</f>
        <v>4.237947321</v>
      </c>
      <c r="F64" s="20" t="n">
        <v>25771</v>
      </c>
      <c r="G64" s="22" t="n">
        <f aca="false">D64/F64</f>
        <v>1644.46366885259</v>
      </c>
      <c r="H64" s="43" t="n">
        <f aca="false">D64/AVERAGE(D$47:D$76)-1</f>
        <v>-0.0583733939318929</v>
      </c>
    </row>
    <row r="65" customFormat="false" ht="15" hidden="false" customHeight="false" outlineLevel="0" collapsed="false">
      <c r="A65" s="42" t="n">
        <v>45554</v>
      </c>
      <c r="B65" s="25" t="s">
        <v>438</v>
      </c>
      <c r="C65" s="25" t="s">
        <v>442</v>
      </c>
      <c r="D65" s="18" t="n">
        <v>43312901.73</v>
      </c>
      <c r="E65" s="17" t="n">
        <f aca="false">D65/10000000</f>
        <v>4.331290173</v>
      </c>
      <c r="F65" s="20" t="n">
        <v>25985</v>
      </c>
      <c r="G65" s="22" t="n">
        <f aca="false">D65/F65</f>
        <v>1666.84247565903</v>
      </c>
      <c r="H65" s="43" t="n">
        <f aca="false">D65/AVERAGE(D$47:D$76)-1</f>
        <v>-0.0376336097222257</v>
      </c>
    </row>
    <row r="66" customFormat="false" ht="15" hidden="false" customHeight="false" outlineLevel="0" collapsed="false">
      <c r="A66" s="42" t="n">
        <v>45555</v>
      </c>
      <c r="B66" s="25" t="s">
        <v>439</v>
      </c>
      <c r="C66" s="25" t="s">
        <v>442</v>
      </c>
      <c r="D66" s="18" t="n">
        <v>42948039.11</v>
      </c>
      <c r="E66" s="17" t="n">
        <f aca="false">D66/10000000</f>
        <v>4.294803911</v>
      </c>
      <c r="F66" s="20" t="n">
        <v>26261</v>
      </c>
      <c r="G66" s="22" t="n">
        <f aca="false">D66/F66</f>
        <v>1635.43045238186</v>
      </c>
      <c r="H66" s="43" t="n">
        <f aca="false">D66/AVERAGE(D$47:D$76)-1</f>
        <v>-0.0457404672296156</v>
      </c>
    </row>
    <row r="67" customFormat="false" ht="15" hidden="false" customHeight="false" outlineLevel="0" collapsed="false">
      <c r="A67" s="42" t="n">
        <v>45556</v>
      </c>
      <c r="B67" s="25" t="s">
        <v>440</v>
      </c>
      <c r="C67" s="25" t="s">
        <v>442</v>
      </c>
      <c r="D67" s="18" t="n">
        <v>44526619.36</v>
      </c>
      <c r="E67" s="17" t="n">
        <f aca="false">D67/10000000</f>
        <v>4.452661936</v>
      </c>
      <c r="F67" s="20" t="n">
        <v>26060</v>
      </c>
      <c r="G67" s="22" t="n">
        <f aca="false">D67/F67</f>
        <v>1708.61931542594</v>
      </c>
      <c r="H67" s="43" t="n">
        <f aca="false">D67/AVERAGE(D$47:D$76)-1</f>
        <v>-0.0106661010182182</v>
      </c>
    </row>
    <row r="68" customFormat="false" ht="15" hidden="false" customHeight="false" outlineLevel="0" collapsed="false">
      <c r="A68" s="42" t="n">
        <v>45557</v>
      </c>
      <c r="B68" s="25" t="s">
        <v>433</v>
      </c>
      <c r="C68" s="25" t="s">
        <v>443</v>
      </c>
      <c r="D68" s="18" t="n">
        <v>44845448.07</v>
      </c>
      <c r="E68" s="17" t="n">
        <f aca="false">D68/10000000</f>
        <v>4.484544807</v>
      </c>
      <c r="F68" s="20" t="n">
        <v>25924</v>
      </c>
      <c r="G68" s="22" t="n">
        <f aca="false">D68/F68</f>
        <v>1729.88150246876</v>
      </c>
      <c r="H68" s="43" t="n">
        <f aca="false">D68/AVERAGE(D$47:D$76)-1</f>
        <v>-0.0035820677970706</v>
      </c>
    </row>
    <row r="69" customFormat="false" ht="15" hidden="false" customHeight="false" outlineLevel="0" collapsed="false">
      <c r="A69" s="42" t="n">
        <v>45558</v>
      </c>
      <c r="B69" s="25" t="s">
        <v>435</v>
      </c>
      <c r="C69" s="25" t="s">
        <v>443</v>
      </c>
      <c r="D69" s="18" t="n">
        <v>44409443.12</v>
      </c>
      <c r="E69" s="17" t="n">
        <f aca="false">D69/10000000</f>
        <v>4.440944312</v>
      </c>
      <c r="F69" s="20" t="n">
        <v>26003</v>
      </c>
      <c r="G69" s="22" t="n">
        <f aca="false">D69/F69</f>
        <v>1707.85844402569</v>
      </c>
      <c r="H69" s="43" t="n">
        <f aca="false">D69/AVERAGE(D$47:D$76)-1</f>
        <v>-0.0132696318510882</v>
      </c>
    </row>
    <row r="70" customFormat="false" ht="15" hidden="false" customHeight="false" outlineLevel="0" collapsed="false">
      <c r="A70" s="42" t="n">
        <v>45559</v>
      </c>
      <c r="B70" s="25" t="s">
        <v>436</v>
      </c>
      <c r="C70" s="25" t="s">
        <v>443</v>
      </c>
      <c r="D70" s="18" t="n">
        <v>44318929.51</v>
      </c>
      <c r="E70" s="17" t="n">
        <f aca="false">D70/10000000</f>
        <v>4.431892951</v>
      </c>
      <c r="F70" s="20" t="n">
        <v>26030</v>
      </c>
      <c r="G70" s="22" t="n">
        <f aca="false">D70/F70</f>
        <v>1702.60966231272</v>
      </c>
      <c r="H70" s="43" t="n">
        <f aca="false">D70/AVERAGE(D$47:D$76)-1</f>
        <v>-0.0152807475382734</v>
      </c>
    </row>
    <row r="71" customFormat="false" ht="15" hidden="false" customHeight="false" outlineLevel="0" collapsed="false">
      <c r="A71" s="42" t="n">
        <v>45560</v>
      </c>
      <c r="B71" s="25" t="s">
        <v>437</v>
      </c>
      <c r="C71" s="25" t="s">
        <v>443</v>
      </c>
      <c r="D71" s="18" t="n">
        <v>47526063.33</v>
      </c>
      <c r="E71" s="17" t="n">
        <f aca="false">D71/10000000</f>
        <v>4.752606333</v>
      </c>
      <c r="F71" s="20" t="n">
        <v>26011</v>
      </c>
      <c r="G71" s="22" t="n">
        <f aca="false">D71/F71</f>
        <v>1827.15248664027</v>
      </c>
      <c r="H71" s="43" t="n">
        <f aca="false">D71/AVERAGE(D$47:D$76)-1</f>
        <v>0.0559783386511288</v>
      </c>
    </row>
    <row r="72" customFormat="false" ht="15" hidden="false" customHeight="false" outlineLevel="0" collapsed="false">
      <c r="A72" s="42" t="n">
        <v>45561</v>
      </c>
      <c r="B72" s="25" t="s">
        <v>438</v>
      </c>
      <c r="C72" s="25" t="s">
        <v>443</v>
      </c>
      <c r="D72" s="18" t="n">
        <v>48629757.56</v>
      </c>
      <c r="E72" s="17" t="n">
        <f aca="false">D72/10000000</f>
        <v>4.862975756</v>
      </c>
      <c r="F72" s="20" t="n">
        <v>25918</v>
      </c>
      <c r="G72" s="22" t="n">
        <f aca="false">D72/F72</f>
        <v>1876.29282969365</v>
      </c>
      <c r="H72" s="43" t="n">
        <f aca="false">D72/AVERAGE(D$47:D$76)-1</f>
        <v>0.0805012449832119</v>
      </c>
    </row>
    <row r="73" customFormat="false" ht="15" hidden="false" customHeight="false" outlineLevel="0" collapsed="false">
      <c r="A73" s="42" t="n">
        <v>45562</v>
      </c>
      <c r="B73" s="25" t="s">
        <v>439</v>
      </c>
      <c r="C73" s="25" t="s">
        <v>443</v>
      </c>
      <c r="D73" s="18" t="n">
        <v>46167898.05</v>
      </c>
      <c r="E73" s="17" t="n">
        <f aca="false">D73/10000000</f>
        <v>4.616789805</v>
      </c>
      <c r="F73" s="20" t="n">
        <v>26031</v>
      </c>
      <c r="G73" s="22" t="n">
        <f aca="false">D73/F73</f>
        <v>1773.57374092428</v>
      </c>
      <c r="H73" s="43" t="n">
        <f aca="false">D73/AVERAGE(D$47:D$76)-1</f>
        <v>0.0258013575275367</v>
      </c>
    </row>
    <row r="74" customFormat="false" ht="15" hidden="false" customHeight="false" outlineLevel="0" collapsed="false">
      <c r="A74" s="42" t="n">
        <v>45563</v>
      </c>
      <c r="B74" s="25" t="s">
        <v>440</v>
      </c>
      <c r="C74" s="25" t="s">
        <v>443</v>
      </c>
      <c r="D74" s="18" t="n">
        <v>48958778.06</v>
      </c>
      <c r="E74" s="17" t="n">
        <f aca="false">D74/10000000</f>
        <v>4.895877806</v>
      </c>
      <c r="F74" s="20" t="n">
        <v>26056</v>
      </c>
      <c r="G74" s="22" t="n">
        <f aca="false">D74/F74</f>
        <v>1878.98288532392</v>
      </c>
      <c r="H74" s="43" t="n">
        <f aca="false">D74/AVERAGE(D$47:D$76)-1</f>
        <v>0.0878117288867428</v>
      </c>
    </row>
    <row r="75" customFormat="false" ht="15" hidden="false" customHeight="false" outlineLevel="0" collapsed="false">
      <c r="A75" s="42" t="n">
        <v>45564</v>
      </c>
      <c r="B75" s="25" t="s">
        <v>433</v>
      </c>
      <c r="C75" s="25" t="s">
        <v>444</v>
      </c>
      <c r="D75" s="18" t="n">
        <v>48648429.2</v>
      </c>
      <c r="E75" s="17" t="n">
        <f aca="false">D75/10000000</f>
        <v>4.86484292</v>
      </c>
      <c r="F75" s="20" t="n">
        <v>25776</v>
      </c>
      <c r="G75" s="22" t="n">
        <f aca="false">D75/F75</f>
        <v>1887.35370887647</v>
      </c>
      <c r="H75" s="43" t="n">
        <f aca="false">D75/AVERAGE(D$47:D$76)-1</f>
        <v>0.0809161088706369</v>
      </c>
    </row>
    <row r="76" customFormat="false" ht="15" hidden="false" customHeight="false" outlineLevel="0" collapsed="false">
      <c r="A76" s="42" t="n">
        <v>45565</v>
      </c>
      <c r="B76" s="25" t="s">
        <v>435</v>
      </c>
      <c r="C76" s="25" t="s">
        <v>444</v>
      </c>
      <c r="D76" s="18" t="n">
        <v>46018923.93</v>
      </c>
      <c r="E76" s="17" t="n">
        <f aca="false">D76/10000000</f>
        <v>4.601892393</v>
      </c>
      <c r="F76" s="20" t="n">
        <v>23876</v>
      </c>
      <c r="G76" s="22" t="n">
        <f aca="false">D76/F76</f>
        <v>1927.41346666108</v>
      </c>
      <c r="H76" s="43" t="n">
        <f aca="false">D76/AVERAGE(D$47:D$76)-1</f>
        <v>0.0224913117817467</v>
      </c>
    </row>
    <row r="77" customFormat="false" ht="15" hidden="false" customHeight="false" outlineLevel="0" collapsed="false">
      <c r="A77" s="27" t="s">
        <v>80</v>
      </c>
      <c r="B77" s="27"/>
      <c r="C77" s="27"/>
      <c r="D77" s="28" t="n">
        <f aca="false">SUM(D47:D76)</f>
        <v>1350199949.86</v>
      </c>
      <c r="E77" s="29" t="n">
        <f aca="false">SUM(E47:E76)</f>
        <v>135.019994986</v>
      </c>
      <c r="F77" s="31" t="n">
        <f aca="false">SUM(F47:F76)</f>
        <v>779553</v>
      </c>
      <c r="G77" s="28" t="n">
        <f aca="false">D77/F77</f>
        <v>1732.01815637936</v>
      </c>
      <c r="H77" s="27"/>
    </row>
    <row r="80" customFormat="false" ht="15" hidden="false" customHeight="false" outlineLevel="0" collapsed="false">
      <c r="A80" s="3" t="s">
        <v>445</v>
      </c>
    </row>
    <row r="81" customFormat="false" ht="31.5" hidden="false" customHeight="true" outlineLevel="0" collapsed="false">
      <c r="A81" s="24" t="s">
        <v>431</v>
      </c>
      <c r="B81" s="24" t="s">
        <v>446</v>
      </c>
      <c r="C81" s="24" t="s">
        <v>72</v>
      </c>
      <c r="D81" s="24" t="s">
        <v>75</v>
      </c>
      <c r="E81" s="24" t="s">
        <v>447</v>
      </c>
      <c r="F81" s="24" t="s">
        <v>77</v>
      </c>
    </row>
    <row r="82" customFormat="false" ht="15" hidden="false" customHeight="false" outlineLevel="0" collapsed="false">
      <c r="A82" s="25" t="s">
        <v>434</v>
      </c>
      <c r="B82" s="32" t="n">
        <f aca="false">COUNTIF($C$47:$C$76,A82)</f>
        <v>7</v>
      </c>
      <c r="C82" s="22" t="n">
        <f aca="false">SUMIFS($D$47:$D$76,$C$47:$C$76,A82)</f>
        <v>312970558.9</v>
      </c>
      <c r="D82" s="21" t="n">
        <f aca="false">SUMIFS($F$47:$F$76,$C$47:$C$76,A82)</f>
        <v>182520</v>
      </c>
      <c r="E82" s="17" t="n">
        <f aca="false">C82/B82/10000000</f>
        <v>4.47100798428571</v>
      </c>
      <c r="F82" s="22" t="n">
        <f aca="false">C82/D82</f>
        <v>1714.7192576156</v>
      </c>
    </row>
    <row r="83" customFormat="false" ht="15" hidden="false" customHeight="false" outlineLevel="0" collapsed="false">
      <c r="A83" s="25" t="s">
        <v>441</v>
      </c>
      <c r="B83" s="32" t="n">
        <f aca="false">COUNTIF($C$47:$C$76,A83)</f>
        <v>7</v>
      </c>
      <c r="C83" s="22" t="n">
        <f aca="false">SUMIFS($D$47:$D$76,$C$47:$C$76,A83)</f>
        <v>314078725.44</v>
      </c>
      <c r="D83" s="21" t="n">
        <f aca="false">SUMIFS($F$47:$F$76,$C$47:$C$76,A83)</f>
        <v>182642</v>
      </c>
      <c r="E83" s="17" t="n">
        <f aca="false">C83/B83/10000000</f>
        <v>4.48683893485714</v>
      </c>
      <c r="F83" s="22" t="n">
        <f aca="false">C83/D83</f>
        <v>1719.6412952114</v>
      </c>
    </row>
    <row r="84" customFormat="false" ht="15" hidden="false" customHeight="false" outlineLevel="0" collapsed="false">
      <c r="A84" s="25" t="s">
        <v>442</v>
      </c>
      <c r="B84" s="32" t="n">
        <f aca="false">COUNTIF($C$47:$C$76,A84)</f>
        <v>7</v>
      </c>
      <c r="C84" s="22" t="n">
        <f aca="false">SUMIFS($D$47:$D$76,$C$47:$C$76,A84)</f>
        <v>303626994.69</v>
      </c>
      <c r="D84" s="21" t="n">
        <f aca="false">SUMIFS($F$47:$F$76,$C$47:$C$76,A84)</f>
        <v>182766</v>
      </c>
      <c r="E84" s="17" t="n">
        <f aca="false">C84/B84/10000000</f>
        <v>4.33752849557143</v>
      </c>
      <c r="F84" s="22" t="n">
        <f aca="false">C84/D84</f>
        <v>1661.28817553593</v>
      </c>
    </row>
    <row r="85" customFormat="false" ht="15" hidden="false" customHeight="false" outlineLevel="0" collapsed="false">
      <c r="A85" s="25" t="s">
        <v>443</v>
      </c>
      <c r="B85" s="32" t="n">
        <f aca="false">COUNTIF($C$47:$C$76,A85)</f>
        <v>7</v>
      </c>
      <c r="C85" s="22" t="n">
        <f aca="false">SUMIFS($D$47:$D$76,$C$47:$C$76,A85)</f>
        <v>324856317.7</v>
      </c>
      <c r="D85" s="21" t="n">
        <f aca="false">SUMIFS($F$47:$F$76,$C$47:$C$76,A85)</f>
        <v>181973</v>
      </c>
      <c r="E85" s="17" t="n">
        <f aca="false">C85/B85/10000000</f>
        <v>4.64080453857143</v>
      </c>
      <c r="F85" s="22" t="n">
        <f aca="false">C85/D85</f>
        <v>1785.18965835591</v>
      </c>
    </row>
    <row r="86" customFormat="false" ht="15" hidden="false" customHeight="false" outlineLevel="0" collapsed="false">
      <c r="A86" s="25" t="s">
        <v>444</v>
      </c>
      <c r="B86" s="32" t="n">
        <f aca="false">COUNTIF($C$47:$C$76,A86)</f>
        <v>2</v>
      </c>
      <c r="C86" s="22" t="n">
        <f aca="false">SUMIFS($D$47:$D$76,$C$47:$C$76,A86)</f>
        <v>94667353.13</v>
      </c>
      <c r="D86" s="21" t="n">
        <f aca="false">SUMIFS($F$47:$F$76,$C$47:$C$76,A86)</f>
        <v>49652</v>
      </c>
      <c r="E86" s="17" t="n">
        <f aca="false">C86/B86/10000000</f>
        <v>4.7333676565</v>
      </c>
      <c r="F86" s="22" t="n">
        <f aca="false">C86/D86</f>
        <v>1906.61711773947</v>
      </c>
    </row>
    <row r="89" customFormat="false" ht="15" hidden="false" customHeight="false" outlineLevel="0" collapsed="false">
      <c r="A89" s="3" t="s">
        <v>448</v>
      </c>
    </row>
    <row r="90" customFormat="false" ht="31.5" hidden="false" customHeight="true" outlineLevel="0" collapsed="false">
      <c r="A90" s="24" t="s">
        <v>449</v>
      </c>
      <c r="B90" s="24" t="s">
        <v>450</v>
      </c>
      <c r="C90" s="24" t="s">
        <v>77</v>
      </c>
    </row>
    <row r="91" customFormat="false" ht="15" hidden="false" customHeight="false" outlineLevel="0" collapsed="false">
      <c r="A91" s="25" t="s">
        <v>451</v>
      </c>
      <c r="B91" s="22" t="n">
        <f aca="false">SUMIFS($D$47:$D$76,$A$47:$A$76,"&lt;"&amp;DATE(2024,9,25))/24</f>
        <v>44343754.1554167</v>
      </c>
      <c r="C91" s="22" t="n">
        <f aca="false">SUMIFS($D$47:$D$76,$A$47:$A$76,"&lt;"&amp;DATE(2024,9,25))/SUMIFS($F$47:$F$76,$A$47:$A$76,"&lt;"&amp;DATE(2024,9,25))</f>
        <v>1700.39240392404</v>
      </c>
    </row>
    <row r="92" customFormat="false" ht="15" hidden="false" customHeight="false" outlineLevel="0" collapsed="false">
      <c r="A92" s="25" t="s">
        <v>452</v>
      </c>
      <c r="B92" s="22" t="n">
        <f aca="false">SUMIFS($D$47:$D$76,$A$47:$A$76,"&gt;="&amp;DATE(2024,9,25))/6</f>
        <v>47658308.355</v>
      </c>
      <c r="C92" s="22" t="n">
        <f aca="false">SUMIFS($D$47:$D$76,$A$47:$A$76,"&gt;="&amp;DATE(2024,9,25))/SUMIFS($F$47:$F$76,$A$47:$A$76,"&gt;="&amp;DATE(2024,9,25))</f>
        <v>1860.82886567145</v>
      </c>
    </row>
    <row r="93" customFormat="false" ht="15" hidden="false" customHeight="false" outlineLevel="0" collapsed="false">
      <c r="A93" s="25" t="s">
        <v>453</v>
      </c>
      <c r="B93" s="22" t="n">
        <f aca="false">B92/B91-1</f>
        <v>0.0747468107451261</v>
      </c>
      <c r="C93" s="22" t="n">
        <f aca="false">C92/C91-1</f>
        <v>0.0943526102428829</v>
      </c>
    </row>
    <row r="94" customFormat="false" ht="15" hidden="false" customHeight="false" outlineLevel="0" collapsed="false">
      <c r="B94" s="44"/>
      <c r="C94" s="44"/>
    </row>
    <row r="95" customFormat="false" ht="15" hidden="false" customHeight="false" outlineLevel="0" collapsed="false">
      <c r="A95" s="12" t="s">
        <v>454</v>
      </c>
    </row>
    <row r="97" customFormat="false" ht="15" hidden="false" customHeight="false" outlineLevel="0" collapsed="false">
      <c r="A97" s="3" t="s">
        <v>455</v>
      </c>
    </row>
    <row r="98" customFormat="false" ht="31.5" hidden="false" customHeight="true" outlineLevel="0" collapsed="false">
      <c r="A98" s="24" t="s">
        <v>430</v>
      </c>
      <c r="B98" s="24" t="s">
        <v>447</v>
      </c>
      <c r="C98" s="24" t="s">
        <v>456</v>
      </c>
    </row>
    <row r="99" customFormat="false" ht="15" hidden="false" customHeight="false" outlineLevel="0" collapsed="false">
      <c r="A99" s="25" t="s">
        <v>435</v>
      </c>
      <c r="B99" s="17" t="n">
        <f aca="false">AVERAGEIFS($D$47:$D$76,$B$47:$B$76,A99)/10000000</f>
        <v>4.4685459938</v>
      </c>
      <c r="C99" s="21" t="n">
        <f aca="false">AVERAGEIFS($F$47:$F$76,$B$47:$B$76,A99)</f>
        <v>25703.2</v>
      </c>
    </row>
    <row r="100" customFormat="false" ht="15" hidden="false" customHeight="false" outlineLevel="0" collapsed="false">
      <c r="A100" s="25" t="s">
        <v>436</v>
      </c>
      <c r="B100" s="17" t="n">
        <f aca="false">AVERAGEIFS($D$47:$D$76,$B$47:$B$76,A100)/10000000</f>
        <v>4.4576374325</v>
      </c>
      <c r="C100" s="21" t="n">
        <f aca="false">AVERAGEIFS($F$47:$F$76,$B$47:$B$76,A100)</f>
        <v>26113</v>
      </c>
    </row>
    <row r="101" customFormat="false" ht="15" hidden="false" customHeight="false" outlineLevel="0" collapsed="false">
      <c r="A101" s="25" t="s">
        <v>437</v>
      </c>
      <c r="B101" s="17" t="n">
        <f aca="false">AVERAGEIFS($D$47:$D$76,$B$47:$B$76,A101)/10000000</f>
        <v>4.46035121475</v>
      </c>
      <c r="C101" s="21" t="n">
        <f aca="false">AVERAGEIFS($F$47:$F$76,$B$47:$B$76,A101)</f>
        <v>26002.5</v>
      </c>
    </row>
    <row r="102" customFormat="false" ht="15" hidden="false" customHeight="false" outlineLevel="0" collapsed="false">
      <c r="A102" s="25" t="s">
        <v>438</v>
      </c>
      <c r="B102" s="17" t="n">
        <f aca="false">AVERAGEIFS($D$47:$D$76,$B$47:$B$76,A102)/10000000</f>
        <v>4.577748803</v>
      </c>
      <c r="C102" s="21" t="n">
        <f aca="false">AVERAGEIFS($F$47:$F$76,$B$47:$B$76,A102)</f>
        <v>25968.25</v>
      </c>
    </row>
    <row r="103" customFormat="false" ht="15" hidden="false" customHeight="false" outlineLevel="0" collapsed="false">
      <c r="A103" s="25" t="s">
        <v>439</v>
      </c>
      <c r="B103" s="17" t="n">
        <f aca="false">AVERAGEIFS($D$47:$D$76,$B$47:$B$76,A103)/10000000</f>
        <v>4.45285157575</v>
      </c>
      <c r="C103" s="21" t="n">
        <f aca="false">AVERAGEIFS($F$47:$F$76,$B$47:$B$76,A103)</f>
        <v>26097</v>
      </c>
    </row>
    <row r="104" customFormat="false" ht="15" hidden="false" customHeight="false" outlineLevel="0" collapsed="false">
      <c r="A104" s="25" t="s">
        <v>440</v>
      </c>
      <c r="B104" s="17" t="n">
        <f aca="false">AVERAGEIFS($D$47:$D$76,$B$47:$B$76,A104)/10000000</f>
        <v>4.5155680425</v>
      </c>
      <c r="C104" s="21" t="n">
        <f aca="false">AVERAGEIFS($F$47:$F$76,$B$47:$B$76,A104)</f>
        <v>26016.75</v>
      </c>
    </row>
    <row r="105" customFormat="false" ht="15" hidden="false" customHeight="false" outlineLevel="0" collapsed="false">
      <c r="A105" s="25" t="s">
        <v>433</v>
      </c>
      <c r="B105" s="17" t="n">
        <f aca="false">AVERAGEIFS($D$47:$D$76,$B$47:$B$76,A105)/10000000</f>
        <v>4.5641273486</v>
      </c>
      <c r="C105" s="21" t="n">
        <f aca="false">AVERAGEIFS($F$47:$F$76,$B$47:$B$76,A105)</f>
        <v>26049.4</v>
      </c>
    </row>
    <row r="107" customFormat="false" ht="15" hidden="false" customHeight="false" outlineLevel="0" collapsed="false">
      <c r="A107" s="12" t="s">
        <v>457</v>
      </c>
    </row>
    <row r="109" customFormat="false" ht="15" hidden="false" customHeight="false" outlineLevel="0" collapsed="false">
      <c r="A109" s="3" t="s">
        <v>458</v>
      </c>
    </row>
    <row r="110" customFormat="false" ht="31.5" hidden="false" customHeight="true" outlineLevel="0" collapsed="false">
      <c r="A110" s="24" t="s">
        <v>459</v>
      </c>
      <c r="B110" s="24" t="s">
        <v>75</v>
      </c>
      <c r="C110" s="24" t="s">
        <v>72</v>
      </c>
      <c r="D110" s="24" t="s">
        <v>83</v>
      </c>
    </row>
    <row r="111" customFormat="false" ht="15" hidden="false" customHeight="false" outlineLevel="0" collapsed="false">
      <c r="A111" s="25" t="s">
        <v>460</v>
      </c>
      <c r="B111" s="20" t="n">
        <v>45973</v>
      </c>
      <c r="C111" s="18" t="n">
        <v>79529924.25</v>
      </c>
      <c r="D111" s="26" t="n">
        <f aca="false">C111/C120</f>
        <v>0.0589023309164293</v>
      </c>
    </row>
    <row r="112" customFormat="false" ht="15" hidden="false" customHeight="false" outlineLevel="0" collapsed="false">
      <c r="A112" s="25" t="s">
        <v>461</v>
      </c>
      <c r="B112" s="20" t="n">
        <v>91520</v>
      </c>
      <c r="C112" s="18" t="n">
        <v>157819080.73</v>
      </c>
      <c r="D112" s="26" t="n">
        <f aca="false">C112/C120</f>
        <v>0.116885710702599</v>
      </c>
    </row>
    <row r="113" customFormat="false" ht="15" hidden="false" customHeight="false" outlineLevel="0" collapsed="false">
      <c r="A113" s="25" t="s">
        <v>462</v>
      </c>
      <c r="B113" s="20" t="n">
        <v>91394</v>
      </c>
      <c r="C113" s="18" t="n">
        <v>159811416.54</v>
      </c>
      <c r="D113" s="26" t="n">
        <f aca="false">C113/C120</f>
        <v>0.118361296455811</v>
      </c>
    </row>
    <row r="114" customFormat="false" ht="15" hidden="false" customHeight="false" outlineLevel="0" collapsed="false">
      <c r="A114" s="25" t="s">
        <v>463</v>
      </c>
      <c r="B114" s="20" t="n">
        <v>91429</v>
      </c>
      <c r="C114" s="18" t="n">
        <v>154979669.57</v>
      </c>
      <c r="D114" s="26" t="n">
        <f aca="false">C114/C120</f>
        <v>0.114782754647613</v>
      </c>
    </row>
    <row r="115" customFormat="false" ht="15" hidden="false" customHeight="false" outlineLevel="0" collapsed="false">
      <c r="A115" s="25" t="s">
        <v>464</v>
      </c>
      <c r="B115" s="20" t="n">
        <v>92028</v>
      </c>
      <c r="C115" s="18" t="n">
        <v>159645799.9</v>
      </c>
      <c r="D115" s="26" t="n">
        <f aca="false">C115/C120</f>
        <v>0.118238635630636</v>
      </c>
    </row>
    <row r="116" customFormat="false" ht="15" hidden="false" customHeight="false" outlineLevel="0" collapsed="false">
      <c r="A116" s="25" t="s">
        <v>465</v>
      </c>
      <c r="B116" s="20" t="n">
        <v>92084</v>
      </c>
      <c r="C116" s="18" t="n">
        <v>157132276.71</v>
      </c>
      <c r="D116" s="26" t="n">
        <f aca="false">C116/C120</f>
        <v>0.116377042323467</v>
      </c>
    </row>
    <row r="117" customFormat="false" ht="15" hidden="false" customHeight="false" outlineLevel="0" collapsed="false">
      <c r="A117" s="25" t="s">
        <v>466</v>
      </c>
      <c r="B117" s="20" t="n">
        <v>91891</v>
      </c>
      <c r="C117" s="18" t="n">
        <v>161303551.18</v>
      </c>
      <c r="D117" s="26" t="n">
        <f aca="false">C117/C120</f>
        <v>0.119466417693709</v>
      </c>
    </row>
    <row r="118" customFormat="false" ht="15" hidden="false" customHeight="false" outlineLevel="0" collapsed="false">
      <c r="A118" s="25" t="s">
        <v>467</v>
      </c>
      <c r="B118" s="20" t="n">
        <v>91733</v>
      </c>
      <c r="C118" s="18" t="n">
        <v>160377286.14</v>
      </c>
      <c r="D118" s="26" t="n">
        <f aca="false">C118/C120</f>
        <v>0.118780397049066</v>
      </c>
    </row>
    <row r="119" customFormat="false" ht="15" hidden="false" customHeight="false" outlineLevel="0" collapsed="false">
      <c r="A119" s="25" t="s">
        <v>468</v>
      </c>
      <c r="B119" s="20" t="n">
        <v>91501</v>
      </c>
      <c r="C119" s="18" t="n">
        <v>159600944.84</v>
      </c>
      <c r="D119" s="26" t="n">
        <f aca="false">C119/C120</f>
        <v>0.118205414580669</v>
      </c>
    </row>
    <row r="120" customFormat="false" ht="15" hidden="false" customHeight="false" outlineLevel="0" collapsed="false">
      <c r="A120" s="27" t="s">
        <v>80</v>
      </c>
      <c r="B120" s="31" t="n">
        <f aca="false">SUM(B111:B119)</f>
        <v>779553</v>
      </c>
      <c r="C120" s="28" t="n">
        <f aca="false">SUM(C111:C119)</f>
        <v>1350199949.86</v>
      </c>
      <c r="D120" s="30" t="n">
        <f aca="false">SUM(D111:D119)</f>
        <v>1</v>
      </c>
    </row>
    <row r="121" customFormat="false" ht="15" hidden="false" customHeight="false" outlineLevel="0" collapsed="false">
      <c r="A121" s="12" t="s">
        <v>469</v>
      </c>
    </row>
    <row r="123" customFormat="false" ht="15" hidden="false" customHeight="false" outlineLevel="0" collapsed="false">
      <c r="A123" s="3" t="s">
        <v>470</v>
      </c>
    </row>
    <row r="124" customFormat="false" ht="30" hidden="false" customHeight="true" outlineLevel="0" collapsed="false">
      <c r="A124" s="8" t="s">
        <v>471</v>
      </c>
      <c r="B124" s="8"/>
      <c r="C124" s="8"/>
      <c r="D124" s="8"/>
      <c r="E124" s="8"/>
      <c r="F124" s="8"/>
      <c r="G124" s="8"/>
      <c r="H124" s="8"/>
    </row>
    <row r="125" customFormat="false" ht="30" hidden="false" customHeight="true" outlineLevel="0" collapsed="false">
      <c r="A125" s="8" t="s">
        <v>472</v>
      </c>
      <c r="B125" s="8"/>
      <c r="C125" s="8"/>
      <c r="D125" s="8"/>
      <c r="E125" s="8"/>
      <c r="F125" s="8"/>
      <c r="G125" s="8"/>
      <c r="H125" s="8"/>
    </row>
    <row r="126" customFormat="false" ht="30" hidden="false" customHeight="true" outlineLevel="0" collapsed="false">
      <c r="A126" s="8" t="s">
        <v>473</v>
      </c>
      <c r="B126" s="8"/>
      <c r="C126" s="8"/>
      <c r="D126" s="8"/>
      <c r="E126" s="8"/>
      <c r="F126" s="8"/>
      <c r="G126" s="8"/>
      <c r="H126" s="8"/>
    </row>
    <row r="127" customFormat="false" ht="30" hidden="false" customHeight="true" outlineLevel="0" collapsed="false">
      <c r="A127" s="8" t="s">
        <v>474</v>
      </c>
      <c r="B127" s="8"/>
      <c r="C127" s="8"/>
      <c r="D127" s="8"/>
      <c r="E127" s="8"/>
      <c r="F127" s="8"/>
      <c r="G127" s="8"/>
      <c r="H127" s="8"/>
    </row>
    <row r="128" customFormat="false" ht="30" hidden="false" customHeight="true" outlineLevel="0" collapsed="false">
      <c r="A128" s="8" t="s">
        <v>475</v>
      </c>
      <c r="B128" s="8"/>
      <c r="C128" s="8"/>
      <c r="D128" s="8"/>
      <c r="E128" s="8"/>
      <c r="F128" s="8"/>
      <c r="G128" s="8"/>
      <c r="H128" s="8"/>
    </row>
    <row r="129" customFormat="false" ht="30" hidden="false" customHeight="true" outlineLevel="0" collapsed="false">
      <c r="A129" s="8" t="s">
        <v>476</v>
      </c>
      <c r="B129" s="8"/>
      <c r="C129" s="8"/>
      <c r="D129" s="8"/>
      <c r="E129" s="8"/>
      <c r="F129" s="8"/>
      <c r="G129" s="8"/>
      <c r="H129" s="8"/>
    </row>
    <row r="130" customFormat="false" ht="30" hidden="false" customHeight="true" outlineLevel="0" collapsed="false">
      <c r="A130" s="8" t="s">
        <v>477</v>
      </c>
      <c r="B130" s="8"/>
      <c r="C130" s="8"/>
      <c r="D130" s="8"/>
      <c r="E130" s="8"/>
      <c r="F130" s="8"/>
      <c r="G130" s="8"/>
      <c r="H130" s="8"/>
    </row>
    <row r="131" customFormat="false" ht="30" hidden="false" customHeight="true" outlineLevel="0" collapsed="false">
      <c r="A131" s="8" t="s">
        <v>478</v>
      </c>
      <c r="B131" s="8"/>
      <c r="C131" s="8"/>
      <c r="D131" s="8"/>
      <c r="E131" s="8"/>
      <c r="F131" s="8"/>
      <c r="G131" s="8"/>
      <c r="H131" s="8"/>
    </row>
  </sheetData>
  <mergeCells count="8">
    <mergeCell ref="A124:H124"/>
    <mergeCell ref="A125:H125"/>
    <mergeCell ref="A126:H126"/>
    <mergeCell ref="A127:H127"/>
    <mergeCell ref="A128:H128"/>
    <mergeCell ref="A129:H129"/>
    <mergeCell ref="A130:H130"/>
    <mergeCell ref="A131:H1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62"/>
    <col collapsed="false" customWidth="true" hidden="false" outlineLevel="0" max="4" min="4" style="0" width="52"/>
  </cols>
  <sheetData>
    <row r="1" customFormat="false" ht="19.7" hidden="false" customHeight="false" outlineLevel="0" collapsed="false">
      <c r="A1" s="11" t="s">
        <v>479</v>
      </c>
    </row>
    <row r="2" customFormat="false" ht="15" hidden="false" customHeight="false" outlineLevel="0" collapsed="false">
      <c r="A2" s="12" t="s">
        <v>480</v>
      </c>
    </row>
    <row r="4" customFormat="false" ht="15" hidden="false" customHeight="false" outlineLevel="0" collapsed="false">
      <c r="A4" s="37" t="s">
        <v>481</v>
      </c>
      <c r="B4" s="37" t="s">
        <v>482</v>
      </c>
      <c r="C4" s="37" t="s">
        <v>483</v>
      </c>
      <c r="D4" s="37" t="s">
        <v>484</v>
      </c>
    </row>
    <row r="5" customFormat="false" ht="61.5" hidden="false" customHeight="true" outlineLevel="0" collapsed="false">
      <c r="A5" s="39" t="n">
        <v>1</v>
      </c>
      <c r="B5" s="38" t="s">
        <v>485</v>
      </c>
      <c r="C5" s="39" t="s">
        <v>486</v>
      </c>
      <c r="D5" s="39" t="s">
        <v>487</v>
      </c>
    </row>
    <row r="6" customFormat="false" ht="61.5" hidden="false" customHeight="true" outlineLevel="0" collapsed="false">
      <c r="A6" s="39" t="n">
        <v>2</v>
      </c>
      <c r="B6" s="38" t="s">
        <v>488</v>
      </c>
      <c r="C6" s="39" t="s">
        <v>489</v>
      </c>
      <c r="D6" s="39" t="s">
        <v>490</v>
      </c>
    </row>
    <row r="7" customFormat="false" ht="61.5" hidden="false" customHeight="true" outlineLevel="0" collapsed="false">
      <c r="A7" s="39" t="n">
        <v>3</v>
      </c>
      <c r="B7" s="38" t="s">
        <v>491</v>
      </c>
      <c r="C7" s="39" t="s">
        <v>492</v>
      </c>
      <c r="D7" s="39" t="s">
        <v>493</v>
      </c>
    </row>
    <row r="8" customFormat="false" ht="61.5" hidden="false" customHeight="true" outlineLevel="0" collapsed="false">
      <c r="A8" s="39" t="n">
        <v>4</v>
      </c>
      <c r="B8" s="38" t="s">
        <v>494</v>
      </c>
      <c r="C8" s="39" t="s">
        <v>495</v>
      </c>
      <c r="D8" s="39" t="s">
        <v>496</v>
      </c>
    </row>
    <row r="9" customFormat="false" ht="61.5" hidden="false" customHeight="true" outlineLevel="0" collapsed="false">
      <c r="A9" s="39" t="n">
        <v>5</v>
      </c>
      <c r="B9" s="38" t="s">
        <v>497</v>
      </c>
      <c r="C9" s="39" t="s">
        <v>498</v>
      </c>
      <c r="D9" s="39" t="s">
        <v>499</v>
      </c>
    </row>
    <row r="10" customFormat="false" ht="61.5" hidden="false" customHeight="true" outlineLevel="0" collapsed="false">
      <c r="A10" s="39" t="n">
        <v>6</v>
      </c>
      <c r="B10" s="38" t="s">
        <v>500</v>
      </c>
      <c r="C10" s="39" t="s">
        <v>501</v>
      </c>
      <c r="D10" s="39" t="s">
        <v>502</v>
      </c>
    </row>
    <row r="11" customFormat="false" ht="61.5" hidden="false" customHeight="true" outlineLevel="0" collapsed="false">
      <c r="A11" s="39" t="n">
        <v>7</v>
      </c>
      <c r="B11" s="38" t="s">
        <v>503</v>
      </c>
      <c r="C11" s="39" t="s">
        <v>504</v>
      </c>
      <c r="D11" s="39" t="s">
        <v>505</v>
      </c>
    </row>
    <row r="12" customFormat="false" ht="61.5" hidden="false" customHeight="true" outlineLevel="0" collapsed="false">
      <c r="A12" s="39" t="n">
        <v>8</v>
      </c>
      <c r="B12" s="38" t="s">
        <v>506</v>
      </c>
      <c r="C12" s="39" t="s">
        <v>507</v>
      </c>
      <c r="D12" s="39" t="s">
        <v>508</v>
      </c>
    </row>
    <row r="13" customFormat="false" ht="61.5" hidden="false" customHeight="true" outlineLevel="0" collapsed="false">
      <c r="A13" s="39" t="n">
        <v>9</v>
      </c>
      <c r="B13" s="38" t="s">
        <v>509</v>
      </c>
      <c r="C13" s="39" t="s">
        <v>510</v>
      </c>
      <c r="D13" s="39" t="s">
        <v>511</v>
      </c>
    </row>
    <row r="14" customFormat="false" ht="61.5" hidden="false" customHeight="true" outlineLevel="0" collapsed="false">
      <c r="A14" s="39" t="n">
        <v>10</v>
      </c>
      <c r="B14" s="38" t="s">
        <v>512</v>
      </c>
      <c r="C14" s="39" t="s">
        <v>513</v>
      </c>
      <c r="D14" s="39" t="s">
        <v>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48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10"/>
  </cols>
  <sheetData>
    <row r="1" customFormat="false" ht="19.7" hidden="false" customHeight="false" outlineLevel="0" collapsed="false">
      <c r="A1" s="11" t="s">
        <v>515</v>
      </c>
    </row>
    <row r="2" customFormat="false" ht="15" hidden="false" customHeight="false" outlineLevel="0" collapsed="false">
      <c r="A2" s="12" t="s">
        <v>516</v>
      </c>
    </row>
    <row r="4" customFormat="false" ht="15" hidden="false" customHeight="false" outlineLevel="0" collapsed="false">
      <c r="A4" s="13" t="s">
        <v>481</v>
      </c>
      <c r="B4" s="13" t="s">
        <v>517</v>
      </c>
      <c r="C4" s="13" t="s">
        <v>518</v>
      </c>
      <c r="D4" s="13" t="s">
        <v>519</v>
      </c>
      <c r="E4" s="13" t="s">
        <v>520</v>
      </c>
      <c r="F4" s="13" t="s">
        <v>521</v>
      </c>
      <c r="G4" s="13" t="s">
        <v>522</v>
      </c>
    </row>
    <row r="5" customFormat="false" ht="78" hidden="false" customHeight="true" outlineLevel="0" collapsed="false">
      <c r="A5" s="39" t="n">
        <v>1</v>
      </c>
      <c r="B5" s="38" t="s">
        <v>523</v>
      </c>
      <c r="C5" s="39" t="s">
        <v>524</v>
      </c>
      <c r="D5" s="39" t="s">
        <v>525</v>
      </c>
      <c r="E5" s="39" t="s">
        <v>526</v>
      </c>
      <c r="F5" s="39" t="s">
        <v>527</v>
      </c>
      <c r="G5" s="39" t="s">
        <v>528</v>
      </c>
    </row>
    <row r="6" customFormat="false" ht="78" hidden="false" customHeight="true" outlineLevel="0" collapsed="false">
      <c r="A6" s="39" t="n">
        <v>2</v>
      </c>
      <c r="B6" s="38" t="s">
        <v>523</v>
      </c>
      <c r="C6" s="39" t="s">
        <v>529</v>
      </c>
      <c r="D6" s="39" t="s">
        <v>530</v>
      </c>
      <c r="E6" s="39" t="s">
        <v>531</v>
      </c>
      <c r="F6" s="39" t="s">
        <v>532</v>
      </c>
      <c r="G6" s="39" t="s">
        <v>528</v>
      </c>
    </row>
    <row r="7" customFormat="false" ht="78" hidden="false" customHeight="true" outlineLevel="0" collapsed="false">
      <c r="A7" s="39" t="n">
        <v>3</v>
      </c>
      <c r="B7" s="38" t="s">
        <v>533</v>
      </c>
      <c r="C7" s="39" t="s">
        <v>534</v>
      </c>
      <c r="D7" s="39" t="s">
        <v>535</v>
      </c>
      <c r="E7" s="39" t="s">
        <v>536</v>
      </c>
      <c r="F7" s="39" t="s">
        <v>537</v>
      </c>
      <c r="G7" s="39" t="s">
        <v>528</v>
      </c>
    </row>
    <row r="8" customFormat="false" ht="78" hidden="false" customHeight="true" outlineLevel="0" collapsed="false">
      <c r="A8" s="39" t="n">
        <v>4</v>
      </c>
      <c r="B8" s="38" t="s">
        <v>533</v>
      </c>
      <c r="C8" s="39" t="s">
        <v>538</v>
      </c>
      <c r="D8" s="39" t="s">
        <v>539</v>
      </c>
      <c r="E8" s="39" t="s">
        <v>540</v>
      </c>
      <c r="F8" s="39" t="s">
        <v>541</v>
      </c>
      <c r="G8" s="39" t="s">
        <v>542</v>
      </c>
    </row>
    <row r="9" customFormat="false" ht="78" hidden="false" customHeight="true" outlineLevel="0" collapsed="false">
      <c r="A9" s="39" t="n">
        <v>5</v>
      </c>
      <c r="B9" s="38" t="s">
        <v>543</v>
      </c>
      <c r="C9" s="39" t="s">
        <v>544</v>
      </c>
      <c r="D9" s="39" t="s">
        <v>545</v>
      </c>
      <c r="E9" s="39" t="s">
        <v>546</v>
      </c>
      <c r="F9" s="39" t="s">
        <v>547</v>
      </c>
      <c r="G9" s="39" t="s">
        <v>528</v>
      </c>
    </row>
    <row r="10" customFormat="false" ht="78" hidden="false" customHeight="true" outlineLevel="0" collapsed="false">
      <c r="A10" s="39" t="n">
        <v>6</v>
      </c>
      <c r="B10" s="38" t="s">
        <v>543</v>
      </c>
      <c r="C10" s="39" t="s">
        <v>548</v>
      </c>
      <c r="D10" s="39" t="s">
        <v>549</v>
      </c>
      <c r="E10" s="39" t="s">
        <v>550</v>
      </c>
      <c r="F10" s="39" t="s">
        <v>551</v>
      </c>
      <c r="G10" s="39" t="s">
        <v>542</v>
      </c>
    </row>
    <row r="11" customFormat="false" ht="78" hidden="false" customHeight="true" outlineLevel="0" collapsed="false">
      <c r="A11" s="39" t="n">
        <v>7</v>
      </c>
      <c r="B11" s="38" t="s">
        <v>543</v>
      </c>
      <c r="C11" s="39" t="s">
        <v>552</v>
      </c>
      <c r="D11" s="39" t="s">
        <v>553</v>
      </c>
      <c r="E11" s="39" t="s">
        <v>554</v>
      </c>
      <c r="F11" s="39" t="s">
        <v>555</v>
      </c>
      <c r="G11" s="39" t="s">
        <v>542</v>
      </c>
    </row>
    <row r="12" customFormat="false" ht="78" hidden="false" customHeight="true" outlineLevel="0" collapsed="false">
      <c r="A12" s="39" t="n">
        <v>8</v>
      </c>
      <c r="B12" s="38" t="s">
        <v>556</v>
      </c>
      <c r="C12" s="39" t="s">
        <v>557</v>
      </c>
      <c r="D12" s="39" t="s">
        <v>558</v>
      </c>
      <c r="E12" s="39" t="s">
        <v>559</v>
      </c>
      <c r="F12" s="39" t="s">
        <v>560</v>
      </c>
      <c r="G12" s="39" t="s">
        <v>528</v>
      </c>
    </row>
    <row r="13" customFormat="false" ht="78" hidden="false" customHeight="true" outlineLevel="0" collapsed="false">
      <c r="A13" s="39" t="n">
        <v>9</v>
      </c>
      <c r="B13" s="38" t="s">
        <v>561</v>
      </c>
      <c r="C13" s="39" t="s">
        <v>562</v>
      </c>
      <c r="D13" s="39" t="s">
        <v>563</v>
      </c>
      <c r="E13" s="39" t="s">
        <v>564</v>
      </c>
      <c r="F13" s="39" t="s">
        <v>565</v>
      </c>
      <c r="G13" s="39" t="s">
        <v>542</v>
      </c>
    </row>
    <row r="14" customFormat="false" ht="78" hidden="false" customHeight="true" outlineLevel="0" collapsed="false">
      <c r="A14" s="39" t="n">
        <v>10</v>
      </c>
      <c r="B14" s="38" t="s">
        <v>561</v>
      </c>
      <c r="C14" s="39" t="s">
        <v>566</v>
      </c>
      <c r="D14" s="39" t="s">
        <v>567</v>
      </c>
      <c r="E14" s="39" t="s">
        <v>568</v>
      </c>
      <c r="F14" s="39" t="s">
        <v>569</v>
      </c>
      <c r="G14" s="39" t="s">
        <v>542</v>
      </c>
    </row>
    <row r="15" customFormat="false" ht="78" hidden="false" customHeight="true" outlineLevel="0" collapsed="false">
      <c r="A15" s="39" t="n">
        <v>11</v>
      </c>
      <c r="B15" s="38" t="s">
        <v>570</v>
      </c>
      <c r="C15" s="39" t="s">
        <v>571</v>
      </c>
      <c r="D15" s="39" t="s">
        <v>572</v>
      </c>
      <c r="E15" s="39" t="s">
        <v>573</v>
      </c>
      <c r="F15" s="39" t="s">
        <v>574</v>
      </c>
      <c r="G15" s="39" t="s">
        <v>575</v>
      </c>
    </row>
    <row r="16" customFormat="false" ht="78" hidden="false" customHeight="true" outlineLevel="0" collapsed="false">
      <c r="A16" s="39" t="n">
        <v>12</v>
      </c>
      <c r="B16" s="38" t="s">
        <v>576</v>
      </c>
      <c r="C16" s="39" t="s">
        <v>577</v>
      </c>
      <c r="D16" s="39" t="s">
        <v>578</v>
      </c>
      <c r="E16" s="39" t="s">
        <v>579</v>
      </c>
      <c r="F16" s="39" t="s">
        <v>580</v>
      </c>
      <c r="G16" s="39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1" t="s">
        <v>581</v>
      </c>
    </row>
    <row r="3" customFormat="false" ht="43.5" hidden="false" customHeight="true" outlineLevel="0" collapsed="false">
      <c r="A3" s="45" t="s">
        <v>582</v>
      </c>
    </row>
    <row r="4" customFormat="false" ht="43.5" hidden="false" customHeight="true" outlineLevel="0" collapsed="false">
      <c r="A4" s="45" t="s">
        <v>583</v>
      </c>
    </row>
    <row r="5" customFormat="false" ht="43.5" hidden="false" customHeight="true" outlineLevel="0" collapsed="false">
      <c r="A5" s="45" t="s">
        <v>584</v>
      </c>
    </row>
    <row r="6" customFormat="false" ht="43.5" hidden="false" customHeight="true" outlineLevel="0" collapsed="false">
      <c r="A6" s="45" t="s">
        <v>585</v>
      </c>
    </row>
    <row r="7" customFormat="false" ht="43.5" hidden="false" customHeight="true" outlineLevel="0" collapsed="false">
      <c r="A7" s="45" t="s">
        <v>586</v>
      </c>
    </row>
    <row r="8" customFormat="false" ht="43.5" hidden="false" customHeight="true" outlineLevel="0" collapsed="false">
      <c r="A8" s="45" t="s">
        <v>587</v>
      </c>
    </row>
    <row r="9" customFormat="false" ht="43.5" hidden="false" customHeight="true" outlineLevel="0" collapsed="false">
      <c r="A9" s="45" t="s">
        <v>588</v>
      </c>
    </row>
    <row r="10" customFormat="false" ht="43.5" hidden="false" customHeight="true" outlineLevel="0" collapsed="false">
      <c r="A10" s="45" t="s">
        <v>589</v>
      </c>
    </row>
    <row r="11" customFormat="false" ht="43.5" hidden="false" customHeight="true" outlineLevel="0" collapsed="false">
      <c r="A11" s="45" t="s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2026-10-26T12:47:00Z</dcterms:created>
  <dc:creator>openpyxl</dc:creator>
  <dc:description/>
  <dc:language>en-US</dc:language>
  <cp:lastModifiedBy/>
  <dcterms:modified xsi:type="dcterms:W3CDTF">2026-10-26T12:47:11Z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